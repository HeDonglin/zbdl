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bookViews>
    <workbookView xWindow="0" yWindow="0" windowWidth="23451" windowHeight="10346" tabRatio="839" firstSheet="20" activeTab="29"/>
  </bookViews>
  <sheets>
    <sheet name="链接表" sheetId="38" r:id="rId1"/>
    <sheet name="现场投标文件退还" sheetId="35" state="hidden" r:id="rId2"/>
    <sheet name="原件递交和退还" sheetId="34" state="hidden" r:id="rId3"/>
    <sheet name="递交投标文件" sheetId="33" state="hidden" r:id="rId4"/>
    <sheet name="专家签到表" sheetId="36" state="hidden" r:id="rId5"/>
    <sheet name="银行保函" sheetId="23" state="hidden" r:id="rId6"/>
    <sheet name="开标会议签到表" sheetId="26" state="hidden" r:id="rId7"/>
    <sheet name="评标会议监督人员签到表" sheetId="25" state="hidden" r:id="rId8"/>
    <sheet name="评标会议工作人员签到表" sheetId="24" state="hidden" r:id="rId9"/>
    <sheet name="开标现场记录表" sheetId="3" r:id="rId10"/>
    <sheet name="评标专家承诺书" sheetId="41" r:id="rId11"/>
    <sheet name="初步审查情况表" sheetId="32" r:id="rId12"/>
    <sheet name="商务评分表" sheetId="56" r:id="rId13"/>
    <sheet name="商务评分汇总表" sheetId="70" r:id="rId14"/>
    <sheet name="技术投标文件符合性审查表" sheetId="57" r:id="rId15"/>
    <sheet name="技术评分表" sheetId="58" r:id="rId16"/>
    <sheet name="技术部分评分汇总表" sheetId="59" r:id="rId17"/>
    <sheet name="技术投标文件编号对应表" sheetId="60" r:id="rId18"/>
    <sheet name="算术平均值" sheetId="65" r:id="rId19"/>
    <sheet name="K值抽取表" sheetId="61" r:id="rId20"/>
    <sheet name="评标基准值" sheetId="67" r:id="rId21"/>
    <sheet name="投标报价得分F1计算表" sheetId="63" r:id="rId22"/>
    <sheet name="投标报价得分F2计算表" sheetId="68" r:id="rId23"/>
    <sheet name="报价得分合计" sheetId="69" r:id="rId24"/>
    <sheet name="综合得分表" sheetId="64" r:id="rId25"/>
    <sheet name="中标候选人" sheetId="17" r:id="rId26"/>
    <sheet name="评标报告" sheetId="44" r:id="rId27"/>
    <sheet name="中标公示" sheetId="55" r:id="rId28"/>
    <sheet name="评标专家评标劳务费发放表" sheetId="37" r:id="rId29"/>
    <sheet name="代理服务费收费通知书" sheetId="43" r:id="rId30"/>
  </sheets>
  <definedNames>
    <definedName name="_xlnm._FilterDatabase" localSheetId="11" hidden="1">初步审查情况表!$A$1:$H$22</definedName>
    <definedName name="PageNumber">IF(ISERROR(MATCH(ROW(),GET.DOCUMENT(64),1)),1,MATCH(ROW(),GET.DOCUMENT(64),1)+1)</definedName>
    <definedName name="_xlnm.Print_Area" localSheetId="11">初步审查情况表!$A$1:$H$22</definedName>
    <definedName name="_xlnm.Print_Area" localSheetId="16">技术部分评分汇总表!$A$1:$G$16</definedName>
    <definedName name="_xlnm.Print_Area" localSheetId="15">技术评分表!$A$1:$G$18</definedName>
    <definedName name="_xlnm.Print_Area" localSheetId="17">技术投标文件编号对应表!$A$1:$E$18</definedName>
    <definedName name="_xlnm.Print_Area" localSheetId="14">技术投标文件符合性审查表!$A$1:$H$12</definedName>
    <definedName name="_xlnm.Print_Area" localSheetId="9">开标现场记录表!$A$1:$M$10</definedName>
    <definedName name="_xlnm.Print_Area" localSheetId="0">链接表!$A$1:$B$54</definedName>
    <definedName name="_xlnm.Print_Area" localSheetId="28">评标专家评标劳务费发放表!$A$1:$F$15</definedName>
    <definedName name="_xlnm.Print_Area" localSheetId="12">商务评分表!$A$1:$E$16</definedName>
    <definedName name="_xlnm.Print_Area" localSheetId="1">现场投标文件退还!$A$1:$H$13</definedName>
    <definedName name="_xlnm.Print_Area" localSheetId="5">银行保函!$A$1:$F$14</definedName>
    <definedName name="_xlnm.Print_Area" localSheetId="24">综合得分表!$A$1:$F$15</definedName>
    <definedName name="_xlnm.Print_Titles" localSheetId="16">技术部分评分汇总表!$1:$3</definedName>
    <definedName name="_xlnm.Print_Titles" localSheetId="17">技术投标文件编号对应表!$1:$3</definedName>
    <definedName name="_xlnm.Print_Titles" localSheetId="9">开标现场记录表!$1:$4</definedName>
    <definedName name="_xlnm.Print_Titles" localSheetId="12">商务评分表!$1:$5</definedName>
    <definedName name="TotalPage">GET.DOCUMENT(50)+NOW()*0</definedName>
  </definedNames>
  <calcPr calcId="144525" fullPrecision="0"/>
</workbook>
</file>

<file path=xl/calcChain.xml><?xml version="1.0" encoding="utf-8"?>
<calcChain xmlns="http://schemas.openxmlformats.org/spreadsheetml/2006/main">
  <c r="D9" i="43" l="1"/>
  <c r="D10" i="43"/>
  <c r="D11" i="43"/>
  <c r="D12" i="43"/>
  <c r="D13" i="43"/>
  <c r="D14" i="43"/>
  <c r="D15" i="43"/>
  <c r="D16" i="43"/>
  <c r="D17" i="43"/>
  <c r="A4" i="37" l="1"/>
  <c r="A3" i="37"/>
  <c r="A2" i="41"/>
  <c r="A21" i="55"/>
  <c r="B10" i="37"/>
  <c r="B11" i="37"/>
  <c r="B12" i="37"/>
  <c r="B9" i="37"/>
  <c r="B8" i="37"/>
  <c r="A1" i="70" l="1"/>
  <c r="A3" i="70"/>
  <c r="A2" i="70"/>
  <c r="D6" i="41" l="1"/>
  <c r="D7" i="41"/>
  <c r="D8" i="41"/>
  <c r="D9" i="41"/>
  <c r="D10" i="41"/>
  <c r="D5" i="41"/>
  <c r="B6" i="41"/>
  <c r="B7" i="41"/>
  <c r="B8" i="41"/>
  <c r="B9" i="41"/>
  <c r="B10" i="41"/>
  <c r="B5" i="41"/>
  <c r="B6" i="3"/>
  <c r="B7" i="3"/>
  <c r="B8" i="3"/>
  <c r="B9" i="3"/>
  <c r="B10" i="3"/>
  <c r="B5" i="3"/>
  <c r="C2" i="56" l="1"/>
  <c r="A40" i="44" l="1"/>
  <c r="A18" i="44"/>
  <c r="B7" i="64" l="1"/>
  <c r="D7" i="64" s="1"/>
  <c r="B8" i="64"/>
  <c r="D8" i="64" s="1"/>
  <c r="B9" i="64"/>
  <c r="D9" i="64" s="1"/>
  <c r="B10" i="64"/>
  <c r="D10" i="64" s="1"/>
  <c r="B11" i="64"/>
  <c r="D11" i="64" s="1"/>
  <c r="B6" i="64"/>
  <c r="D6" i="64" s="1"/>
  <c r="A3" i="64"/>
  <c r="A2" i="64"/>
  <c r="A1" i="64"/>
  <c r="A3" i="69"/>
  <c r="A2" i="69"/>
  <c r="A1" i="69"/>
  <c r="A1" i="68"/>
  <c r="A3" i="68"/>
  <c r="A2" i="68"/>
  <c r="A1" i="63"/>
  <c r="A3" i="63" l="1"/>
  <c r="A2" i="63"/>
  <c r="E5" i="67"/>
  <c r="C5" i="67"/>
  <c r="E3" i="67"/>
  <c r="A3" i="67"/>
  <c r="A2" i="67"/>
  <c r="E6" i="65"/>
  <c r="E7" i="65"/>
  <c r="C7" i="68" s="1"/>
  <c r="E8" i="65"/>
  <c r="C8" i="68" s="1"/>
  <c r="E9" i="65"/>
  <c r="C9" i="68" s="1"/>
  <c r="E10" i="65"/>
  <c r="C10" i="68" s="1"/>
  <c r="C6" i="65"/>
  <c r="C6" i="63" s="1"/>
  <c r="C7" i="65"/>
  <c r="C7" i="63" s="1"/>
  <c r="C8" i="65"/>
  <c r="C8" i="63" s="1"/>
  <c r="C9" i="65"/>
  <c r="C9" i="63" s="1"/>
  <c r="C10" i="65"/>
  <c r="C10" i="63" s="1"/>
  <c r="E5" i="65"/>
  <c r="C5" i="68" s="1"/>
  <c r="C5" i="65"/>
  <c r="C5" i="63" s="1"/>
  <c r="B6" i="65"/>
  <c r="B6" i="70" s="1"/>
  <c r="C7" i="64" s="1"/>
  <c r="B7" i="65"/>
  <c r="B7" i="70" s="1"/>
  <c r="C8" i="64" s="1"/>
  <c r="B8" i="65"/>
  <c r="B8" i="70" s="1"/>
  <c r="C9" i="64" s="1"/>
  <c r="B9" i="65"/>
  <c r="B9" i="70" s="1"/>
  <c r="C10" i="64" s="1"/>
  <c r="B10" i="65"/>
  <c r="B10" i="70" s="1"/>
  <c r="C11" i="64" s="1"/>
  <c r="B5" i="65"/>
  <c r="B5" i="70" s="1"/>
  <c r="C6" i="64" s="1"/>
  <c r="A3" i="65"/>
  <c r="A2" i="65"/>
  <c r="B10" i="63" l="1"/>
  <c r="B9" i="63"/>
  <c r="E11" i="65"/>
  <c r="E12" i="65" s="1"/>
  <c r="F7" i="65" s="1"/>
  <c r="C6" i="68"/>
  <c r="B8" i="68"/>
  <c r="B8" i="69"/>
  <c r="B7" i="68"/>
  <c r="B7" i="69"/>
  <c r="B10" i="69"/>
  <c r="B10" i="68"/>
  <c r="B6" i="69"/>
  <c r="B6" i="68"/>
  <c r="B7" i="63"/>
  <c r="B8" i="63"/>
  <c r="B9" i="68"/>
  <c r="B9" i="69"/>
  <c r="B6" i="63"/>
  <c r="B5" i="68"/>
  <c r="B5" i="69"/>
  <c r="B5" i="63"/>
  <c r="C11" i="65"/>
  <c r="C12" i="65" s="1"/>
  <c r="F9" i="65" l="1"/>
  <c r="F8" i="65"/>
  <c r="F10" i="65"/>
  <c r="E13" i="65" s="1"/>
  <c r="D5" i="67" s="1"/>
  <c r="D7" i="67" s="1"/>
  <c r="D5" i="68" s="1"/>
  <c r="E7" i="68" s="1"/>
  <c r="F7" i="68" s="1"/>
  <c r="G7" i="68" s="1"/>
  <c r="D7" i="69" s="1"/>
  <c r="F5" i="65"/>
  <c r="F6" i="65"/>
  <c r="D8" i="65"/>
  <c r="D9" i="65"/>
  <c r="D10" i="65"/>
  <c r="D7" i="65"/>
  <c r="D6" i="65"/>
  <c r="D5" i="65"/>
  <c r="E5" i="68" l="1"/>
  <c r="F5" i="68" s="1"/>
  <c r="G5" i="68" s="1"/>
  <c r="D5" i="69" s="1"/>
  <c r="E8" i="68"/>
  <c r="F8" i="68" s="1"/>
  <c r="G8" i="68" s="1"/>
  <c r="D8" i="69" s="1"/>
  <c r="E6" i="68"/>
  <c r="F6" i="68" s="1"/>
  <c r="G6" i="68" s="1"/>
  <c r="D6" i="69" s="1"/>
  <c r="E9" i="68"/>
  <c r="F9" i="68" s="1"/>
  <c r="G9" i="68" s="1"/>
  <c r="D9" i="69" s="1"/>
  <c r="E10" i="68"/>
  <c r="F10" i="68" s="1"/>
  <c r="G10" i="68" s="1"/>
  <c r="D10" i="69" s="1"/>
  <c r="C13" i="65"/>
  <c r="B5" i="67" s="1"/>
  <c r="B7" i="67" s="1"/>
  <c r="D5" i="63" s="1"/>
  <c r="E9" i="63" s="1"/>
  <c r="F9" i="63" s="1"/>
  <c r="G9" i="63" s="1"/>
  <c r="C9" i="69" s="1"/>
  <c r="E9" i="69" s="1"/>
  <c r="E10" i="64" s="1"/>
  <c r="F10" i="64" s="1"/>
  <c r="A1" i="60"/>
  <c r="E6" i="63" l="1"/>
  <c r="F6" i="63" s="1"/>
  <c r="G6" i="63" s="1"/>
  <c r="C6" i="69" s="1"/>
  <c r="E6" i="69" s="1"/>
  <c r="E7" i="64" s="1"/>
  <c r="F7" i="64" s="1"/>
  <c r="E7" i="63"/>
  <c r="F7" i="63" s="1"/>
  <c r="G7" i="63" s="1"/>
  <c r="C7" i="69" s="1"/>
  <c r="E7" i="69" s="1"/>
  <c r="E8" i="64" s="1"/>
  <c r="F8" i="64" s="1"/>
  <c r="E5" i="63"/>
  <c r="F5" i="63" s="1"/>
  <c r="G5" i="63" s="1"/>
  <c r="C5" i="69" s="1"/>
  <c r="E5" i="69" s="1"/>
  <c r="E6" i="64" s="1"/>
  <c r="F6" i="64" s="1"/>
  <c r="E10" i="63"/>
  <c r="F10" i="63" s="1"/>
  <c r="G10" i="63" s="1"/>
  <c r="C10" i="69" s="1"/>
  <c r="E10" i="69" s="1"/>
  <c r="E11" i="64" s="1"/>
  <c r="F11" i="64" s="1"/>
  <c r="E8" i="63"/>
  <c r="F8" i="63" s="1"/>
  <c r="G8" i="63" s="1"/>
  <c r="C8" i="69" s="1"/>
  <c r="E8" i="69" s="1"/>
  <c r="E9" i="64" s="1"/>
  <c r="F9" i="64" s="1"/>
  <c r="E3" i="61"/>
  <c r="A3" i="61"/>
  <c r="A2" i="61"/>
  <c r="A3" i="60"/>
  <c r="A2" i="60"/>
  <c r="T6" i="3"/>
  <c r="T7" i="3"/>
  <c r="T8" i="3"/>
  <c r="T9" i="3"/>
  <c r="T10" i="3"/>
  <c r="T5" i="3"/>
  <c r="S6" i="3"/>
  <c r="S7" i="3"/>
  <c r="S8" i="3"/>
  <c r="S9" i="3"/>
  <c r="S10" i="3"/>
  <c r="S5" i="3"/>
  <c r="B6" i="17" l="1"/>
  <c r="E6" i="17" s="1"/>
  <c r="B4" i="17"/>
  <c r="D4" i="17" s="1"/>
  <c r="D7" i="17" s="1"/>
  <c r="B5" i="17"/>
  <c r="D5" i="17" s="1"/>
  <c r="G9" i="59"/>
  <c r="D9" i="60" s="1"/>
  <c r="G10" i="59"/>
  <c r="D10" i="60" s="1"/>
  <c r="A3" i="59"/>
  <c r="A2" i="59"/>
  <c r="A1" i="59"/>
  <c r="C2" i="58"/>
  <c r="A4" i="58"/>
  <c r="A3" i="58"/>
  <c r="J4" i="58"/>
  <c r="A3" i="57"/>
  <c r="A2" i="57"/>
  <c r="A1" i="57"/>
  <c r="G8" i="59"/>
  <c r="D8" i="60" s="1"/>
  <c r="G7" i="59"/>
  <c r="D7" i="60" s="1"/>
  <c r="G6" i="59"/>
  <c r="D6" i="60" s="1"/>
  <c r="G5" i="59"/>
  <c r="D5" i="60" s="1"/>
  <c r="E5" i="17" l="1"/>
  <c r="C4" i="17"/>
  <c r="C7" i="17" s="1"/>
  <c r="C10" i="55" s="1"/>
  <c r="C6" i="17"/>
  <c r="E4" i="17"/>
  <c r="E7" i="17" s="1"/>
  <c r="D6" i="17"/>
  <c r="C5" i="17"/>
  <c r="E17" i="55" s="1"/>
  <c r="A4" i="56"/>
  <c r="A3" i="56"/>
  <c r="H4" i="56"/>
  <c r="E50" i="44" l="1"/>
  <c r="E18" i="55"/>
  <c r="E49" i="44"/>
  <c r="E16" i="55"/>
  <c r="E48" i="44"/>
  <c r="E51" i="44" s="1"/>
  <c r="D33" i="43" l="1"/>
  <c r="A32" i="43"/>
  <c r="B30" i="43"/>
  <c r="C17" i="43"/>
  <c r="B17" i="43"/>
  <c r="C16" i="43"/>
  <c r="B16" i="43"/>
  <c r="C15" i="43"/>
  <c r="B15" i="43"/>
  <c r="C14" i="43"/>
  <c r="B14" i="43"/>
  <c r="C13" i="43"/>
  <c r="B13" i="43"/>
  <c r="C12" i="43"/>
  <c r="B12" i="43"/>
  <c r="C11" i="43"/>
  <c r="B11" i="43"/>
  <c r="C10" i="43"/>
  <c r="B10" i="43"/>
  <c r="C9" i="43"/>
  <c r="B9" i="43"/>
  <c r="C8" i="43"/>
  <c r="B8" i="43"/>
  <c r="A5" i="43"/>
  <c r="A4" i="43"/>
  <c r="D13" i="37"/>
  <c r="D20" i="43" s="1"/>
  <c r="A6" i="37"/>
  <c r="A5" i="37"/>
  <c r="A2" i="37"/>
  <c r="A20" i="55"/>
  <c r="C14" i="55"/>
  <c r="F10" i="55"/>
  <c r="C8" i="55"/>
  <c r="C7" i="55"/>
  <c r="F6" i="55"/>
  <c r="C6" i="55"/>
  <c r="C5" i="55"/>
  <c r="C4" i="55"/>
  <c r="C3" i="55"/>
  <c r="D2" i="55"/>
  <c r="A51" i="44"/>
  <c r="A50" i="44"/>
  <c r="A49" i="44"/>
  <c r="A48" i="44"/>
  <c r="A43" i="44"/>
  <c r="A38" i="44"/>
  <c r="A32" i="44"/>
  <c r="A16" i="44"/>
  <c r="A15" i="44"/>
  <c r="A12" i="44"/>
  <c r="A11" i="44"/>
  <c r="A10" i="44"/>
  <c r="A9" i="44"/>
  <c r="A8" i="44"/>
  <c r="A7" i="44"/>
  <c r="A6" i="44"/>
  <c r="A5" i="44"/>
  <c r="A4" i="44"/>
  <c r="A3" i="44"/>
  <c r="A1" i="44"/>
  <c r="E2" i="17"/>
  <c r="A2" i="17"/>
  <c r="J4" i="32"/>
  <c r="F3" i="32"/>
  <c r="A3" i="32"/>
  <c r="D2" i="32"/>
  <c r="D14" i="41"/>
  <c r="A14" i="41"/>
  <c r="A13" i="41"/>
  <c r="A10" i="41"/>
  <c r="A9" i="41"/>
  <c r="A8" i="41"/>
  <c r="A7" i="41"/>
  <c r="A6" i="41"/>
  <c r="A5" i="41"/>
  <c r="J3" i="3"/>
  <c r="A3" i="3"/>
  <c r="J2" i="3"/>
  <c r="A2" i="3"/>
  <c r="A1" i="3"/>
  <c r="G3" i="24"/>
  <c r="A3" i="24"/>
  <c r="A2" i="24"/>
  <c r="A1" i="24"/>
  <c r="G3" i="25"/>
  <c r="A3" i="25"/>
  <c r="A2" i="25"/>
  <c r="A1" i="25"/>
  <c r="G3" i="26"/>
  <c r="A3" i="26"/>
  <c r="A2" i="26"/>
  <c r="A1" i="26"/>
  <c r="A3" i="23"/>
  <c r="A2" i="23"/>
  <c r="A1" i="23"/>
  <c r="I5" i="36"/>
  <c r="C5" i="36"/>
  <c r="I4" i="36"/>
  <c r="C4" i="36"/>
  <c r="H3" i="36"/>
  <c r="D15" i="33"/>
  <c r="D14" i="33"/>
  <c r="D13" i="33"/>
  <c r="D12" i="33"/>
  <c r="D11" i="33"/>
  <c r="D10" i="33"/>
  <c r="D9" i="33"/>
  <c r="D8" i="33"/>
  <c r="D7" i="33"/>
  <c r="D6" i="33"/>
  <c r="D5" i="33"/>
  <c r="A3" i="33"/>
  <c r="A2" i="33"/>
  <c r="A1" i="33"/>
  <c r="A4" i="34"/>
  <c r="A3" i="34"/>
  <c r="A2" i="34"/>
  <c r="A4" i="35"/>
  <c r="A3" i="35"/>
  <c r="A2" i="35"/>
  <c r="B17" i="38"/>
  <c r="C19" i="55" s="1"/>
  <c r="D8" i="43" l="1"/>
  <c r="D18" i="43" l="1"/>
  <c r="C16" i="55"/>
  <c r="D19" i="43" l="1"/>
  <c r="D21" i="43" s="1"/>
  <c r="B7" i="17"/>
  <c r="C9" i="55" s="1"/>
  <c r="A3" i="43" s="1"/>
  <c r="B48" i="44"/>
  <c r="C18" i="55"/>
  <c r="B50" i="44"/>
  <c r="B49" i="44"/>
  <c r="C17" i="55"/>
  <c r="B51" i="44" l="1"/>
  <c r="A52" i="44" s="1"/>
</calcChain>
</file>

<file path=xl/sharedStrings.xml><?xml version="1.0" encoding="utf-8"?>
<sst xmlns="http://schemas.openxmlformats.org/spreadsheetml/2006/main" count="602" uniqueCount="458">
  <si>
    <t>进场编号：</t>
  </si>
  <si>
    <t>招标类型：</t>
  </si>
  <si>
    <t>招标方式：</t>
  </si>
  <si>
    <t>公开招标</t>
  </si>
  <si>
    <t>项目名称：</t>
  </si>
  <si>
    <t>招标人：</t>
  </si>
  <si>
    <t>招标代理：</t>
  </si>
  <si>
    <t>深圳群伦项目管理有限公司</t>
  </si>
  <si>
    <t>开标日期：</t>
  </si>
  <si>
    <t>开标地点：</t>
  </si>
  <si>
    <t>开标时间：</t>
  </si>
  <si>
    <t xml:space="preserve">评标开始时间: </t>
  </si>
  <si>
    <t>评标结束时间：</t>
  </si>
  <si>
    <t>招标控制价：</t>
  </si>
  <si>
    <t>建设规模：</t>
  </si>
  <si>
    <t>质量要求：</t>
  </si>
  <si>
    <t>公示时间：</t>
  </si>
  <si>
    <t>建设地点：</t>
  </si>
  <si>
    <t>招标范围：</t>
  </si>
  <si>
    <t>评标办法：</t>
  </si>
  <si>
    <t>工期日历天数：</t>
  </si>
  <si>
    <t>主管单位：</t>
  </si>
  <si>
    <t>设计单位：</t>
  </si>
  <si>
    <t>招标人联系电话：</t>
  </si>
  <si>
    <t>招标代理联系电话：</t>
  </si>
  <si>
    <r>
      <rPr>
        <sz val="12"/>
        <rFont val="宋体"/>
        <family val="3"/>
        <charset val="134"/>
      </rPr>
      <t>0</t>
    </r>
    <r>
      <rPr>
        <sz val="12"/>
        <rFont val="宋体"/>
        <family val="3"/>
        <charset val="134"/>
      </rPr>
      <t>668-8829113</t>
    </r>
  </si>
  <si>
    <t>序号</t>
  </si>
  <si>
    <t>投标单位名称</t>
  </si>
  <si>
    <t>现场退还投标文件及原件资料签字确认表</t>
  </si>
  <si>
    <t>投标文件递交单位名称</t>
  </si>
  <si>
    <t xml:space="preserve"> 递交投标文件份数</t>
  </si>
  <si>
    <t>退还原因</t>
  </si>
  <si>
    <t>退还情况</t>
  </si>
  <si>
    <t>接收人签名</t>
  </si>
  <si>
    <t>联系电话</t>
  </si>
  <si>
    <t>备注</t>
  </si>
  <si>
    <t>全部退还</t>
  </si>
  <si>
    <t>投标单位递交原件和退还原件登记表</t>
  </si>
  <si>
    <t>递交单位名称</t>
  </si>
  <si>
    <t>份数</t>
  </si>
  <si>
    <t>是否全部退还</t>
  </si>
  <si>
    <t>退还接收人签名</t>
  </si>
  <si>
    <t>投标人名称</t>
  </si>
  <si>
    <t>投标文件递交时间</t>
  </si>
  <si>
    <t>法定代表人或授权委托代理人</t>
  </si>
  <si>
    <t>身份证号码</t>
  </si>
  <si>
    <t>原件是否齐全</t>
  </si>
  <si>
    <t xml:space="preserve"> </t>
  </si>
  <si>
    <t xml:space="preserve">招标人代表：                                  招标代理代表: </t>
  </si>
  <si>
    <t>评标委员会成员签到表</t>
  </si>
  <si>
    <t>建设单位
(招标人)</t>
  </si>
  <si>
    <t>进场编号</t>
  </si>
  <si>
    <t>项目名称</t>
  </si>
  <si>
    <t>招标类别</t>
  </si>
  <si>
    <t>姓名</t>
  </si>
  <si>
    <t>性别</t>
  </si>
  <si>
    <t>工作单位</t>
  </si>
  <si>
    <t>职务或专业职称</t>
  </si>
  <si>
    <t>投标单位</t>
  </si>
  <si>
    <t>基本户账号</t>
  </si>
  <si>
    <t>基本户银行名称</t>
  </si>
  <si>
    <t>银行名称
（出具银行保函）</t>
  </si>
  <si>
    <t>提交时间</t>
  </si>
  <si>
    <t>人员
类别</t>
  </si>
  <si>
    <t>姓  名</t>
  </si>
  <si>
    <t>职务
或职称</t>
  </si>
  <si>
    <t>监
督
人
员</t>
  </si>
  <si>
    <t>招
标
人</t>
  </si>
  <si>
    <t>招
标
代
理</t>
  </si>
  <si>
    <t>交易
中心
工作
人员</t>
  </si>
  <si>
    <t>职务或职称</t>
  </si>
  <si>
    <t xml:space="preserve">投 标 单 位 名 称 </t>
  </si>
  <si>
    <t>投标文件密封情况</t>
  </si>
  <si>
    <t>投标文件份数</t>
  </si>
  <si>
    <t>投标人身份核对情况</t>
  </si>
  <si>
    <t>法定代表人或法人授权委托人到会情况</t>
  </si>
  <si>
    <t>项目负责人</t>
  </si>
  <si>
    <t>投标保证金递交情况</t>
  </si>
  <si>
    <t>投标人对开标记录及过程无异议签字</t>
  </si>
  <si>
    <t>符合要求</t>
  </si>
  <si>
    <t>一正四副、附电子标书</t>
  </si>
  <si>
    <t>核对相符</t>
  </si>
  <si>
    <t>授权委托人到会</t>
  </si>
  <si>
    <t>已递交</t>
  </si>
  <si>
    <t>法定代表人到会</t>
  </si>
  <si>
    <t>莫云锦</t>
  </si>
  <si>
    <t>覃河德</t>
  </si>
  <si>
    <t>问晓茹</t>
  </si>
  <si>
    <t>评标专家承诺书</t>
  </si>
  <si>
    <t xml:space="preserve">投标单位 </t>
  </si>
  <si>
    <r>
      <rPr>
        <b/>
        <sz val="12"/>
        <rFont val="宋体"/>
        <family val="3"/>
        <charset val="134"/>
      </rPr>
      <t xml:space="preserve">本人承诺如下：
</t>
    </r>
    <r>
      <rPr>
        <sz val="12"/>
        <rFont val="宋体"/>
        <family val="3"/>
        <charset val="134"/>
      </rPr>
      <t>1、本人非招标人及招标代理机构的工作人员；
2、本人非上述投标人的工作人员和主要负责人的近亲属；
3、本人非项目主管部门或者行政监督部门的人员；
4、本人与上述投标人无经济利益关系；
5、本人所属工作单位非公务员单位或依公管理单位（水利工程、公路工程专家除外）；
6、本人无法律法规要求回避的其他情形。
7、本人将严格遵守评标纪律及招投标相关法律，公正评标，廉洁评标；如有违反以上规定或有其他弄虚作假的行为，本人承担一切责任。
特此承诺。</t>
    </r>
  </si>
  <si>
    <t xml:space="preserve">评标专家签名：       </t>
  </si>
  <si>
    <t>初步审查情况表</t>
  </si>
  <si>
    <t>投标单位名称：</t>
  </si>
  <si>
    <t>开始序号</t>
  </si>
  <si>
    <t>内容</t>
  </si>
  <si>
    <t>评审因素</t>
  </si>
  <si>
    <t>评审标准</t>
  </si>
  <si>
    <t>是否符合审查标准</t>
  </si>
  <si>
    <t>是否通过初步审查</t>
  </si>
  <si>
    <t>结束序号</t>
  </si>
  <si>
    <t>3.1.1</t>
  </si>
  <si>
    <t>形式评审标准</t>
  </si>
  <si>
    <t>3.1.2</t>
  </si>
  <si>
    <t>3.1.3</t>
  </si>
  <si>
    <t>工期</t>
  </si>
  <si>
    <t>工程质量</t>
  </si>
  <si>
    <t>投标有效期</t>
  </si>
  <si>
    <t>投标保证金</t>
  </si>
  <si>
    <t>注:是否符合审查标准,“是”请打“√”、“否”请打“×”；是否通过初步审查：写“通过”或“不通过”。</t>
  </si>
  <si>
    <t>评委主任签名：</t>
  </si>
  <si>
    <t>评委成员签名:</t>
  </si>
  <si>
    <t>评审结果</t>
  </si>
  <si>
    <t>评委主任签字：</t>
  </si>
  <si>
    <t>评委成员签字：</t>
  </si>
  <si>
    <t>评委签名：</t>
  </si>
  <si>
    <t>中标候选人推荐表</t>
  </si>
  <si>
    <t>候选人</t>
  </si>
  <si>
    <t>第一中标候选人</t>
  </si>
  <si>
    <t>第二中标候选人</t>
  </si>
  <si>
    <t>第三中标候选人</t>
  </si>
  <si>
    <t>中标人</t>
  </si>
  <si>
    <t>评标委员会主任复核:</t>
  </si>
  <si>
    <t>一、 工程概况：</t>
  </si>
  <si>
    <t>二、开标</t>
  </si>
  <si>
    <t>１、 开标时间及地点</t>
  </si>
  <si>
    <t>2、开标过程</t>
  </si>
  <si>
    <t>三、评标委员会</t>
  </si>
  <si>
    <t xml:space="preserve">  评标委员会由招标人依法组建，在开标当天由招标人从广东省综合评标评审专家库随机抽取，组成如下：</t>
  </si>
  <si>
    <t>专家一</t>
  </si>
  <si>
    <t>专家二</t>
  </si>
  <si>
    <t>专家三</t>
  </si>
  <si>
    <t>专家四</t>
  </si>
  <si>
    <t>专家五</t>
  </si>
  <si>
    <t>黄祥溪</t>
  </si>
  <si>
    <t>吴丽</t>
  </si>
  <si>
    <t>卢海玲</t>
  </si>
  <si>
    <t>杨春红</t>
  </si>
  <si>
    <t>杜颖</t>
  </si>
  <si>
    <t>职称</t>
  </si>
  <si>
    <t>高工</t>
  </si>
  <si>
    <t>工程师</t>
  </si>
  <si>
    <t>并由评标委员会成员推举专家</t>
  </si>
  <si>
    <t>担任评标委员会主任。</t>
  </si>
  <si>
    <t>四、评标情况</t>
  </si>
  <si>
    <t>1、评标时间及地点：</t>
  </si>
  <si>
    <t>2、评标过程封闭管理</t>
  </si>
  <si>
    <t xml:space="preserve">  依法组建的评标委员会在评标过程严格按照评标纪律要求实行封闭管理，评标委员会的成员到场后将所有通讯工具收交统一管理，断绝与外界的联系。评标委员会在开始评标工作之前，由招标人委托的招标代理机构组织评标委员会研读招标文件，了解和熟悉招标文件规定的评标办法以及招标文件规定的其他与评标有关的内容，根据评标办法收集评标所需的其他重要信息与数据，做好评标前期准备。</t>
  </si>
  <si>
    <t>３、评标过程的原则性</t>
  </si>
  <si>
    <t xml:space="preserve">  评标活动的全过程遵循公平、公正、体现平等、科学和合法的原则，评审过程中不含有倾向性或者排斥潜在投标人的因素，不存在妨碍和限制投标人之间竞争的情节。招标文件“评标办法”中没有规定的方法、评审因素和标准，评标委员会没有列入作为评标依据。</t>
  </si>
  <si>
    <t>4、投标文件的初步评审</t>
  </si>
  <si>
    <t>5、技术投标文件符合性审查</t>
  </si>
  <si>
    <t>6、技术投标文件符合性审查</t>
  </si>
  <si>
    <r>
      <rPr>
        <sz val="12"/>
        <rFont val="宋体"/>
        <family val="3"/>
        <charset val="134"/>
      </rPr>
      <t>6</t>
    </r>
    <r>
      <rPr>
        <sz val="12"/>
        <rFont val="宋体"/>
        <family val="3"/>
        <charset val="134"/>
      </rPr>
      <t>、商务及经济报价投标文件的详细评审</t>
    </r>
  </si>
  <si>
    <r>
      <rPr>
        <sz val="12"/>
        <rFont val="宋体"/>
        <family val="3"/>
        <charset val="134"/>
      </rPr>
      <t xml:space="preserve"> </t>
    </r>
    <r>
      <rPr>
        <sz val="12"/>
        <rFont val="宋体"/>
        <family val="3"/>
        <charset val="134"/>
      </rPr>
      <t xml:space="preserve"> </t>
    </r>
    <r>
      <rPr>
        <sz val="12"/>
        <rFont val="宋体"/>
        <family val="3"/>
        <charset val="134"/>
      </rPr>
      <t>评标委员会对通过初步评审的投标人的商务部分和经济报价进行评分，根据综合得分由高至低排序，取综合得分最高的投标人为第一中标候选人，次之为第二中标候选人，再者为第三中标候选人。</t>
    </r>
  </si>
  <si>
    <t>五、评标结果</t>
  </si>
  <si>
    <t>根据招标文件确定的评标办法和标准，经评标委员会严格评审，中标候选人如下：</t>
  </si>
  <si>
    <t>中标下浮率</t>
  </si>
  <si>
    <t>评标主任签名确认：</t>
  </si>
  <si>
    <t>评标成员签名确认：</t>
  </si>
  <si>
    <t>监督员签名:</t>
  </si>
  <si>
    <t>招标单位</t>
  </si>
  <si>
    <t>工程名称</t>
  </si>
  <si>
    <t>工程建设规模</t>
  </si>
  <si>
    <t>招标方式</t>
  </si>
  <si>
    <t>招标代理机构</t>
  </si>
  <si>
    <t>开标时间</t>
  </si>
  <si>
    <t>中
标
人</t>
  </si>
  <si>
    <t>中标单位</t>
  </si>
  <si>
    <t>承诺工期
（日历天）</t>
  </si>
  <si>
    <t>人员资格要求</t>
  </si>
  <si>
    <t>注册编号</t>
  </si>
  <si>
    <t>专业类别</t>
  </si>
  <si>
    <t>技术职称</t>
  </si>
  <si>
    <t>粤144171739613</t>
  </si>
  <si>
    <t>水利水电工程</t>
  </si>
  <si>
    <t>技术负责人</t>
  </si>
  <si>
    <t>吴伟明</t>
  </si>
  <si>
    <t>粤中职证字第1500102255307号</t>
  </si>
  <si>
    <t>水工建筑</t>
  </si>
  <si>
    <t>质量要求</t>
  </si>
  <si>
    <t>中
标
候
选
人</t>
  </si>
  <si>
    <t>排序</t>
  </si>
  <si>
    <t>单位名称</t>
  </si>
  <si>
    <t>投标下浮率</t>
  </si>
  <si>
    <t>项目负责人
注册编号</t>
  </si>
  <si>
    <t>第一中标
候选人</t>
  </si>
  <si>
    <t>第二中标
候选人</t>
  </si>
  <si>
    <t>粤2441718086819</t>
  </si>
  <si>
    <t>第三中标
候选人</t>
  </si>
  <si>
    <t>粤2440708004094</t>
  </si>
  <si>
    <t>公示时间</t>
  </si>
  <si>
    <r>
      <rPr>
        <b/>
        <sz val="18"/>
        <color indexed="8"/>
        <rFont val="宋体"/>
        <family val="3"/>
        <charset val="134"/>
      </rPr>
      <t>评标专家评标劳务费</t>
    </r>
    <r>
      <rPr>
        <b/>
        <sz val="18"/>
        <rFont val="宋体"/>
        <family val="3"/>
        <charset val="134"/>
      </rPr>
      <t>发放</t>
    </r>
    <r>
      <rPr>
        <b/>
        <sz val="18"/>
        <color indexed="8"/>
        <rFont val="宋体"/>
        <family val="3"/>
        <charset val="134"/>
      </rPr>
      <t>表</t>
    </r>
  </si>
  <si>
    <t>专家姓名</t>
  </si>
  <si>
    <t>角色</t>
  </si>
  <si>
    <t>专家劳务报酬（元）</t>
  </si>
  <si>
    <t>专家签领</t>
  </si>
  <si>
    <t>评委组长</t>
  </si>
  <si>
    <t>评委</t>
  </si>
  <si>
    <t>总计费用</t>
  </si>
  <si>
    <t xml:space="preserve">支付单位：              </t>
  </si>
  <si>
    <t>支付单位经办人：</t>
  </si>
  <si>
    <t>注：1.角色分“评委组长”和“评委”；
    2.评标类型分为“工程施工”、“工程监理”、“工程设计”等。</t>
  </si>
  <si>
    <t>代理服务费收费通知书</t>
  </si>
  <si>
    <t>按（计价格[2002]1980）文《招标代理服务收费管理暂行办法》执行标准收取“招标代理服务费”，费用如下：</t>
  </si>
  <si>
    <t xml:space="preserve">               招标类型
           费率
  招标金额</t>
  </si>
  <si>
    <t>工程招标</t>
  </si>
  <si>
    <t>招标控制价(元)</t>
  </si>
  <si>
    <t>代理费(元)</t>
  </si>
  <si>
    <t>100万元以下</t>
  </si>
  <si>
    <t>100～500万元</t>
  </si>
  <si>
    <t>500～1000万元</t>
  </si>
  <si>
    <t>1000～5000万元</t>
  </si>
  <si>
    <t>5000万元～1亿元</t>
  </si>
  <si>
    <t>1～5亿元</t>
  </si>
  <si>
    <t>5~10亿元</t>
  </si>
  <si>
    <t>10~50亿元</t>
  </si>
  <si>
    <t>50~100亿元</t>
  </si>
  <si>
    <t>100亿元以上</t>
  </si>
  <si>
    <t>各项结果累计得：</t>
  </si>
  <si>
    <t>评审专家劳务费、餐费、车费</t>
  </si>
  <si>
    <t>总费用合计</t>
  </si>
  <si>
    <t>收费账号</t>
  </si>
  <si>
    <t>开户名称：</t>
  </si>
  <si>
    <t>深圳群伦项目管理有限公司信宜分公司</t>
  </si>
  <si>
    <t>开户银行：</t>
  </si>
  <si>
    <t>中国建设银行股份有限公司茂名信宜迎宾分理处</t>
  </si>
  <si>
    <t>银行账号：</t>
  </si>
  <si>
    <t>4405 0169 1141 0000 0130</t>
  </si>
  <si>
    <t>联 系 人：</t>
  </si>
  <si>
    <t>韦小姐</t>
  </si>
  <si>
    <t>电    话：</t>
  </si>
  <si>
    <t>评标结果公示</t>
    <phoneticPr fontId="110" type="noConversion"/>
  </si>
  <si>
    <t>工程施工</t>
    <phoneticPr fontId="110" type="noConversion"/>
  </si>
  <si>
    <t>信宜市绿道二期EPC项目</t>
    <phoneticPr fontId="110" type="noConversion"/>
  </si>
  <si>
    <t>信宜市旅游投资发展有限公司</t>
    <phoneticPr fontId="110" type="noConversion"/>
  </si>
  <si>
    <t>2018年8月8日9时30分</t>
    <phoneticPr fontId="110" type="noConversion"/>
  </si>
  <si>
    <t>本项目主要建设信宜绿道、旺同公园及沙滩公园等工程，项目总投资为15149.86万元,其中建安费为12978.59万元，设计费为532.72万元。</t>
    <phoneticPr fontId="110" type="noConversion"/>
  </si>
  <si>
    <t>综合评标法</t>
    <phoneticPr fontId="110" type="noConversion"/>
  </si>
  <si>
    <t>本项目的设计、施工、养护期（24个月）养护任务。本次招标确定设计施工总承包的承担主体，中标后负责本项目的设计、施工及养护期养护任务等工作。</t>
    <phoneticPr fontId="110" type="noConversion"/>
  </si>
  <si>
    <t>设计质量要求：符合勘察设计规范要求。
施工质量要求：必须达到《建设工程施工质量验收统一标准》等现行验收规范和工程质量检验评定标准合格及以上。
文明施工安全要求：合格及以上。</t>
    <phoneticPr fontId="110" type="noConversion"/>
  </si>
  <si>
    <t>2018年8月8日11时30分</t>
    <phoneticPr fontId="110" type="noConversion"/>
  </si>
  <si>
    <t>2018年8月8日14时30分</t>
    <phoneticPr fontId="110" type="noConversion"/>
  </si>
  <si>
    <t>信宜市旅游局</t>
    <phoneticPr fontId="110" type="noConversion"/>
  </si>
  <si>
    <r>
      <t>设计工期5</t>
    </r>
    <r>
      <rPr>
        <sz val="12"/>
        <rFont val="宋体"/>
        <family val="3"/>
        <charset val="134"/>
      </rPr>
      <t>0日历天，施工工期210日历天</t>
    </r>
    <phoneticPr fontId="110" type="noConversion"/>
  </si>
  <si>
    <t>信宜市水口镇、丁堡镇及东镇</t>
    <phoneticPr fontId="110" type="noConversion"/>
  </si>
  <si>
    <t>投标人名称（或包括联合体成员）</t>
    <phoneticPr fontId="110" type="noConversion"/>
  </si>
  <si>
    <t>投标文件的签字盖章</t>
    <phoneticPr fontId="110" type="noConversion"/>
  </si>
  <si>
    <t>法定代表人证明书、授权委托书</t>
    <phoneticPr fontId="110" type="noConversion"/>
  </si>
  <si>
    <t>商务及经济报价投标文件格式</t>
    <phoneticPr fontId="110" type="noConversion"/>
  </si>
  <si>
    <t>联合体投标人</t>
    <phoneticPr fontId="110" type="noConversion"/>
  </si>
  <si>
    <t>报价唯一</t>
    <phoneticPr fontId="110" type="noConversion"/>
  </si>
  <si>
    <t>与营业执照、资质证书、安全生产许可证一致（含联合体各成员）</t>
    <phoneticPr fontId="110" type="noConversion"/>
  </si>
  <si>
    <t>符合招标文件第二章“投标人须知”第3.7.3项规定，按照招标文件提供的格式具有效的签署和单位公章。</t>
    <phoneticPr fontId="110" type="noConversion"/>
  </si>
  <si>
    <t>符合招标文件第二章“投标人须知”第3.7.3项规定。</t>
    <phoneticPr fontId="110" type="noConversion"/>
  </si>
  <si>
    <t>符合第六章“投标文件格式”要求。</t>
    <phoneticPr fontId="110" type="noConversion"/>
  </si>
  <si>
    <t>提交联合体协议书，并明确联合体牵头人（如有）。</t>
    <phoneticPr fontId="110" type="noConversion"/>
  </si>
  <si>
    <t>只有一个有效报价。且未超出有效报价范围内</t>
    <phoneticPr fontId="110" type="noConversion"/>
  </si>
  <si>
    <t>资质条件</t>
    <phoneticPr fontId="110" type="noConversion"/>
  </si>
  <si>
    <t>财务实力</t>
    <phoneticPr fontId="110" type="noConversion"/>
  </si>
  <si>
    <t>业绩要求</t>
    <phoneticPr fontId="110" type="noConversion"/>
  </si>
  <si>
    <t>企业信誉</t>
    <phoneticPr fontId="110" type="noConversion"/>
  </si>
  <si>
    <t>人员配备资格最低要求</t>
    <phoneticPr fontId="110" type="noConversion"/>
  </si>
  <si>
    <t>符合第二章“投标人须知”第1.4.1 （附录1）项规定。</t>
    <phoneticPr fontId="110" type="noConversion"/>
  </si>
  <si>
    <t>符合第二章“投标人须知”第1.4.1 （附录2）项规定。</t>
    <phoneticPr fontId="110" type="noConversion"/>
  </si>
  <si>
    <t>符合第二章“投标人须知”第1.4.1 （附录3）项规定。</t>
    <phoneticPr fontId="110" type="noConversion"/>
  </si>
  <si>
    <t>符合第二章“投标人须知”第1.4.1 （附录4）项规定。</t>
    <phoneticPr fontId="110" type="noConversion"/>
  </si>
  <si>
    <t>符合第二章“投标人须知”第1.4.1 （附录5）项规定。</t>
    <phoneticPr fontId="110" type="noConversion"/>
  </si>
  <si>
    <t>符合第二章“投标人须知”第1.3.2 项规定</t>
    <phoneticPr fontId="110" type="noConversion"/>
  </si>
  <si>
    <t>符合第二章“投标人须知”第1.3.3 项规定</t>
    <phoneticPr fontId="110" type="noConversion"/>
  </si>
  <si>
    <t>符合第二章“投标人须知”第3.3.1 项规定</t>
    <phoneticPr fontId="110" type="noConversion"/>
  </si>
  <si>
    <t>符合第二章“投标人须知”第3.4.1 项规定</t>
    <phoneticPr fontId="110" type="noConversion"/>
  </si>
  <si>
    <t>响应性评审标准</t>
    <phoneticPr fontId="110" type="noConversion"/>
  </si>
  <si>
    <t xml:space="preserve">资格
评审
标准
</t>
    <phoneticPr fontId="110" type="noConversion"/>
  </si>
  <si>
    <t>信宜市公共资源交易中心</t>
    <phoneticPr fontId="110" type="noConversion"/>
  </si>
  <si>
    <t>商务部分得分情况表</t>
    <phoneticPr fontId="110" type="noConversion"/>
  </si>
  <si>
    <t>序号</t>
    <phoneticPr fontId="110" type="noConversion"/>
  </si>
  <si>
    <t>投标单位名称：</t>
    <phoneticPr fontId="110" type="noConversion"/>
  </si>
  <si>
    <t>开始序号</t>
    <phoneticPr fontId="110" type="noConversion"/>
  </si>
  <si>
    <t>结束序号</t>
    <phoneticPr fontId="110" type="noConversion"/>
  </si>
  <si>
    <t>评分标准</t>
    <phoneticPr fontId="110" type="noConversion"/>
  </si>
  <si>
    <t>得分</t>
    <phoneticPr fontId="110" type="noConversion"/>
  </si>
  <si>
    <t>总得分</t>
    <phoneticPr fontId="110" type="noConversion"/>
  </si>
  <si>
    <t xml:space="preserve">  </t>
    <phoneticPr fontId="110" type="noConversion"/>
  </si>
  <si>
    <t>评分委员签字：</t>
    <phoneticPr fontId="110" type="noConversion"/>
  </si>
  <si>
    <t>序号</t>
    <phoneticPr fontId="110" type="noConversion"/>
  </si>
  <si>
    <t>评分项</t>
    <phoneticPr fontId="110" type="noConversion"/>
  </si>
  <si>
    <t>分值</t>
    <phoneticPr fontId="110" type="noConversion"/>
  </si>
  <si>
    <t>设计业绩</t>
    <phoneticPr fontId="110" type="noConversion"/>
  </si>
  <si>
    <t>8分</t>
    <phoneticPr fontId="110" type="noConversion"/>
  </si>
  <si>
    <t>3分</t>
    <phoneticPr fontId="110" type="noConversion"/>
  </si>
  <si>
    <t>企业近五年（2013年7月1日至今）以来，投标人获得过风景园林类优秀工程设计奖项，省级奖项的，每项得0.5分，国家级奖项每个得1.5分。本项最多得3分。
注：如为联合体投标，本项评分对象为联合体设计方，证明材料提供原件或复印件加盖投标人公章为准。</t>
    <phoneticPr fontId="110" type="noConversion"/>
  </si>
  <si>
    <t>设计奖项</t>
    <phoneticPr fontId="110" type="noConversion"/>
  </si>
  <si>
    <t>3分</t>
    <phoneticPr fontId="110" type="noConversion"/>
  </si>
  <si>
    <t>施工业绩</t>
    <phoneticPr fontId="110" type="noConversion"/>
  </si>
  <si>
    <t>施工奖项</t>
    <phoneticPr fontId="110" type="noConversion"/>
  </si>
  <si>
    <t>企业近五年（2013年7月1日至今）以来，投标人获得过风景园林类奖项，省级优质园林工程金奖的每项得0.5分；国家级优质园林工程金奖的每项得1.5分；   
同一项目获多项奖项的按最高奖项计而不能重复得分，本项目最高得分3分。
注：如为联合体投标，本项评分对象为联合体牵头人，证明材料提供原件或复印件加盖投标人公章为准。</t>
    <phoneticPr fontId="110" type="noConversion"/>
  </si>
  <si>
    <t>承接类似单项设计业绩：
2013年7月1日以来承接类似单项工程设计业绩（设计费）合同金额达：
200万元＜设计业绩≤500万元元每个得0.5分；
500万元＜设计业绩≤1000万元元每个得1分；
设计业绩＞1000万元的每个得2分，本项累计满分8分。
设计企业业绩须提供设计合同及中标通知书等证明材料的原件或复印件加盖投标人公章证明材料。
注：如为联合体投标，本项评分对象为联合体设计方； EPC项目业绩只能选择一项计分。</t>
    <phoneticPr fontId="110" type="noConversion"/>
  </si>
  <si>
    <t>承接类似单项施工业绩： 
2013年7月1日以来承接园林绿化工程类似施工业绩：
项目业绩≥10000万元，竣工工程每个得2分。
本项累计满分8分。
注：（1）建安工程费计算以项目合同金额为准；时间计算以合同签订日期日期或竣工验收报告为准。
近年完成项目：提供中标通知书、合同协议书及竣工验收报告。
注：如为联合体投标，本项评分对象为联合体牵头人；EPC项目业绩只能选择一项计分。</t>
    <phoneticPr fontId="110" type="noConversion"/>
  </si>
  <si>
    <t>企业信誉</t>
    <phoneticPr fontId="110" type="noConversion"/>
  </si>
  <si>
    <t>2分</t>
    <phoneticPr fontId="110" type="noConversion"/>
  </si>
  <si>
    <t>1、银行或第三方评级机构（具有法定评级资质）评定的企业信用等级在有效期内的为AAA级得2分，AA级得1分，其余不得分。
注：如为联合体投标，本项评分对象为联合体牵头人，证明材料提供原件或复印件加盖投标人公章为准。</t>
    <phoneticPr fontId="110" type="noConversion"/>
  </si>
  <si>
    <t>企业实力</t>
    <phoneticPr fontId="110" type="noConversion"/>
  </si>
  <si>
    <t>4分</t>
    <phoneticPr fontId="110" type="noConversion"/>
  </si>
  <si>
    <t>配置人员</t>
    <phoneticPr fontId="110" type="noConversion"/>
  </si>
  <si>
    <t>1、拟派的项目负责人具有园林绿化专业教授级高工的得1分，其余不得分；
2、拟派的设计项目负责人具有园林绿化专业教授级高工的得1分，其余不得分；
注：需提供职称证原件备查</t>
    <phoneticPr fontId="110" type="noConversion"/>
  </si>
  <si>
    <t>说明：1、 以上商务评分需要提供原件备查，不提供原件的不得分。</t>
    <phoneticPr fontId="110" type="noConversion"/>
  </si>
  <si>
    <t>1、需提供企业近三年（2015-2017）年会计事务所出具的审计报告（B为近三年资产负债率平均值）。
投标申请人企业资产负债率，B≤65%得1分，其余不得分。
2、近三年年营业收入平均达到30（含）亿元以上，得3分；
近三年年营业收入平均达到20（含）亿元～30亿元（不含），得2分；
近三年年营业收入平均达到10（含）亿元～20亿元（不含），得1分；
其余不得分（以2015年-2017年财务审计报告营业收入平均值为准。）
注：如为联合体投标，本项评分对象为联合体牵头人</t>
    <phoneticPr fontId="110" type="noConversion"/>
  </si>
  <si>
    <t>符合性审查内容</t>
  </si>
  <si>
    <t>编号1</t>
  </si>
  <si>
    <t>编号2</t>
  </si>
  <si>
    <t>编号3</t>
  </si>
  <si>
    <t>编号4</t>
  </si>
  <si>
    <t>审查技术投标文件的内容是否按招标文件的具体要求进行编写，如技术投标文件副本的封面及正文出现有投标人的名称和其他可识别投标人身份的文字、符号、标识的，其技术投标文件作为无效投标处理</t>
    <phoneticPr fontId="110" type="noConversion"/>
  </si>
  <si>
    <t>审查结论</t>
  </si>
  <si>
    <t>注：评审结果符合为“√”，不符合为“×”，审查结论为“通过”或“不通过”。</t>
    <phoneticPr fontId="110" type="noConversion"/>
  </si>
  <si>
    <t>评委主任签字：</t>
    <phoneticPr fontId="110" type="noConversion"/>
  </si>
  <si>
    <t>技术部分得分情况表</t>
    <phoneticPr fontId="110" type="noConversion"/>
  </si>
  <si>
    <t>序号</t>
    <phoneticPr fontId="110" type="noConversion"/>
  </si>
  <si>
    <t>开始序号</t>
    <phoneticPr fontId="110" type="noConversion"/>
  </si>
  <si>
    <t>结束序号</t>
    <phoneticPr fontId="110" type="noConversion"/>
  </si>
  <si>
    <t>基础分</t>
    <phoneticPr fontId="110" type="noConversion"/>
  </si>
  <si>
    <t>分项内容</t>
    <phoneticPr fontId="110" type="noConversion"/>
  </si>
  <si>
    <t>设置要求</t>
    <phoneticPr fontId="110" type="noConversion"/>
  </si>
  <si>
    <t>得分</t>
    <phoneticPr fontId="110" type="noConversion"/>
  </si>
  <si>
    <t>单项</t>
    <phoneticPr fontId="110" type="noConversion"/>
  </si>
  <si>
    <t>总得分</t>
    <phoneticPr fontId="110" type="noConversion"/>
  </si>
  <si>
    <t>匿名单位编号</t>
  </si>
  <si>
    <t>专家1
评分</t>
    <phoneticPr fontId="110" type="noConversion"/>
  </si>
  <si>
    <t>专家2
评分</t>
    <phoneticPr fontId="110" type="noConversion"/>
  </si>
  <si>
    <t>专家3
评分</t>
    <phoneticPr fontId="110" type="noConversion"/>
  </si>
  <si>
    <t>专家4
评分</t>
    <phoneticPr fontId="110" type="noConversion"/>
  </si>
  <si>
    <t>专家5
评分</t>
    <phoneticPr fontId="110" type="noConversion"/>
  </si>
  <si>
    <t>本项得分          （去掉一个最高分和一个最低分取算术平均值)</t>
  </si>
  <si>
    <t>编号5</t>
  </si>
  <si>
    <t>编号6</t>
  </si>
  <si>
    <t>景观效果及思路</t>
    <phoneticPr fontId="110" type="noConversion"/>
  </si>
  <si>
    <t>项目管理组织方案</t>
    <phoneticPr fontId="110" type="noConversion"/>
  </si>
  <si>
    <t>施工计划</t>
    <phoneticPr fontId="110" type="noConversion"/>
  </si>
  <si>
    <t>0.5分</t>
  </si>
  <si>
    <t>1分</t>
  </si>
  <si>
    <t>2分</t>
  </si>
  <si>
    <t>设计理念</t>
    <phoneticPr fontId="110" type="noConversion"/>
  </si>
  <si>
    <t>相关设计要求</t>
    <phoneticPr fontId="110" type="noConversion"/>
  </si>
  <si>
    <t>设计的可持续发展</t>
    <phoneticPr fontId="110" type="noConversion"/>
  </si>
  <si>
    <t>造价估算</t>
    <phoneticPr fontId="110" type="noConversion"/>
  </si>
  <si>
    <t>设计周期进度及质量保证措施</t>
    <phoneticPr fontId="110" type="noConversion"/>
  </si>
  <si>
    <t>后续服务</t>
    <phoneticPr fontId="110" type="noConversion"/>
  </si>
  <si>
    <t>序号</t>
    <phoneticPr fontId="110" type="noConversion"/>
  </si>
  <si>
    <t>分类</t>
    <phoneticPr fontId="110" type="noConversion"/>
  </si>
  <si>
    <t>设计方案（6分）</t>
    <phoneticPr fontId="110" type="noConversion"/>
  </si>
  <si>
    <t>施工组织设计（4分）</t>
    <phoneticPr fontId="110" type="noConversion"/>
  </si>
  <si>
    <t>整体定位准确，园林设计理念优秀，主题突出，满足合理性、实用性、可行性的要求，同时要有创新，并兼顾经济性。
优得0.5分，一般得0.3分，差得0.1分</t>
    <phoneticPr fontId="110" type="noConversion"/>
  </si>
  <si>
    <t>方案的整体效果出色，总体设计思路清晰、主要景观节点表达明确，符合项目实际情况，功能分区、布局结构合理。
优得1分，一般得0.5分，差得0.2分</t>
    <phoneticPr fontId="110" type="noConversion"/>
  </si>
  <si>
    <t>设计符合当地实际、绿道、林荫路建设技术应用要求。
优得1分，一般得0.5分，差得0.2分</t>
    <phoneticPr fontId="110" type="noConversion"/>
  </si>
  <si>
    <t>合理利用场地现状与周边关系，方案中考虑可持续发展的空间，提出未来发展的具体保证措施、对策措施，方案具有可操作性强。
优得1分，一般得0.5分，差得0.2分</t>
    <phoneticPr fontId="110" type="noConversion"/>
  </si>
  <si>
    <t>工程造价控制测算依据较充分，并满足项目建设书及经济指标要求
优得1分，一般得0.5分，差得0.2分</t>
    <phoneticPr fontId="110" type="noConversion"/>
  </si>
  <si>
    <t>按本招标文件设计工期时间合理安排各节点进度计划，承诺在规定时间内完成工作，并附有具体的保证措施及方案，时间安排合理、保证措施可靠，针对本项目设计质量有具体保证措施方案。
优得1分，一般得0.5分，差得0.2分</t>
    <phoneticPr fontId="110" type="noConversion"/>
  </si>
  <si>
    <t>针对招标文件要求在施工期需派驻后续服务人员，现场配合业主及施工单位完成项目实施工作，并有后续服务工作安排相关。
优得0.5分，一般得0.3分，差得0.1分</t>
    <phoneticPr fontId="110" type="noConversion"/>
  </si>
  <si>
    <t>对项目建设总体思路、项目管理组织方案 进行阐述：
内容完整、表达良好，优得2分，一般得1分，差得0.2分</t>
    <phoneticPr fontId="110" type="noConversion"/>
  </si>
  <si>
    <t>对施工计划、投入主要人员、施工进度及保证措施、施工机械设备、质量管理体系与保证措施、安全生产方案、环境保护、重难点分析及处理等方面进行阐述，对内容完整性、表达情况等，优得2分，一般得1分，差得0.5分</t>
    <phoneticPr fontId="110" type="noConversion"/>
  </si>
  <si>
    <t>评分委员签名：</t>
    <phoneticPr fontId="110" type="noConversion"/>
  </si>
  <si>
    <t>投标人名称：</t>
    <phoneticPr fontId="110" type="noConversion"/>
  </si>
  <si>
    <t>注：技术投标文件评分由评标委员会成员单独对各投标人的技术文件进行打分，去掉一个最高分和一个最低分取算术平均值为本项得分。</t>
    <phoneticPr fontId="110" type="noConversion"/>
  </si>
  <si>
    <t>对应投标单位</t>
  </si>
  <si>
    <t>技术得分</t>
  </si>
  <si>
    <t>评委成员签字：</t>
    <phoneticPr fontId="110" type="noConversion"/>
  </si>
  <si>
    <t>招标人：          监督人：          交易中心：</t>
    <phoneticPr fontId="110" type="noConversion"/>
  </si>
  <si>
    <t>评标委员会主任抽取下浮系数表</t>
  </si>
  <si>
    <t>招标类型</t>
  </si>
  <si>
    <t>评标主任签名：</t>
  </si>
  <si>
    <t>招标人代表：</t>
    <phoneticPr fontId="110" type="noConversion"/>
  </si>
  <si>
    <t>交易中心代表：</t>
  </si>
  <si>
    <t>监督代表：</t>
  </si>
  <si>
    <t>建安费：</t>
    <phoneticPr fontId="110" type="noConversion"/>
  </si>
  <si>
    <t>设计费：</t>
    <phoneticPr fontId="110" type="noConversion"/>
  </si>
  <si>
    <t>张1</t>
    <phoneticPr fontId="110" type="noConversion"/>
  </si>
  <si>
    <t>张2</t>
  </si>
  <si>
    <t>张3</t>
  </si>
  <si>
    <t>张4</t>
  </si>
  <si>
    <t>张5</t>
  </si>
  <si>
    <t>张6</t>
  </si>
  <si>
    <t>（设计）
投标报价
（元）</t>
    <phoneticPr fontId="110" type="noConversion"/>
  </si>
  <si>
    <t>（建安）
投标报价
（元）</t>
    <phoneticPr fontId="110" type="noConversion"/>
  </si>
  <si>
    <r>
      <t xml:space="preserve">设计
工期
</t>
    </r>
    <r>
      <rPr>
        <sz val="8"/>
        <rFont val="宋体"/>
        <family val="3"/>
        <charset val="134"/>
      </rPr>
      <t>(日历天)</t>
    </r>
    <phoneticPr fontId="110" type="noConversion"/>
  </si>
  <si>
    <r>
      <t xml:space="preserve">施工
工期
</t>
    </r>
    <r>
      <rPr>
        <sz val="8"/>
        <rFont val="宋体"/>
        <family val="3"/>
        <charset val="134"/>
      </rPr>
      <t>(日历天)</t>
    </r>
    <phoneticPr fontId="110" type="noConversion"/>
  </si>
  <si>
    <t>由评标委员会主任随机抽取一个K值（在【97%≤K值≤101%】的浮动区间范围内，按每间隔0.5%设一个系数）</t>
    <phoneticPr fontId="110" type="noConversion"/>
  </si>
  <si>
    <t xml:space="preserve">评标委员会主任复核：       </t>
    <phoneticPr fontId="110" type="noConversion"/>
  </si>
  <si>
    <t>商务部分得分</t>
  </si>
  <si>
    <t>技术部分得分</t>
  </si>
  <si>
    <t>报价部分得分</t>
  </si>
  <si>
    <t xml:space="preserve">评标委员会主任复核：      </t>
    <phoneticPr fontId="110" type="noConversion"/>
  </si>
  <si>
    <t>结果</t>
  </si>
  <si>
    <t>第一次算术平均值</t>
    <phoneticPr fontId="110" type="noConversion"/>
  </si>
  <si>
    <t>第一次算术平均值的80%</t>
    <phoneticPr fontId="110" type="noConversion"/>
  </si>
  <si>
    <t>第二次算术平均值(D1/D2)</t>
    <phoneticPr fontId="110" type="noConversion"/>
  </si>
  <si>
    <t>算术平均值(D1、D2)计算表</t>
    <phoneticPr fontId="110" type="noConversion"/>
  </si>
  <si>
    <t>评标基准值</t>
    <phoneticPr fontId="110" type="noConversion"/>
  </si>
  <si>
    <t>评标基准价A2值
(D2×K2=A2)</t>
    <phoneticPr fontId="110" type="noConversion"/>
  </si>
  <si>
    <t>评标基准价A1值
(D1×K1=A1)</t>
    <phoneticPr fontId="110" type="noConversion"/>
  </si>
  <si>
    <t>评标基准价计算表</t>
    <phoneticPr fontId="113" type="noConversion"/>
  </si>
  <si>
    <t>设计第二次算术平均值（D1）</t>
    <phoneticPr fontId="113" type="noConversion"/>
  </si>
  <si>
    <t>设计
评标基准价（A1）</t>
    <phoneticPr fontId="110" type="noConversion"/>
  </si>
  <si>
    <t>设计
有效的投标报价
B1=(1-A)</t>
    <phoneticPr fontId="110" type="noConversion"/>
  </si>
  <si>
    <t>建安
有效的投标报价
B2=(1-B)</t>
    <phoneticPr fontId="110" type="noConversion"/>
  </si>
  <si>
    <t>设计
投标报价
(B1)</t>
    <phoneticPr fontId="110" type="noConversion"/>
  </si>
  <si>
    <t>设计
C1值（若 B1&gt;A1，则 C1=31；若B1&lt;A1，则 C1=30）</t>
    <phoneticPr fontId="110" type="noConversion"/>
  </si>
  <si>
    <t>设计
投标报价得分(F1)
F1=100-|B1-A1|×C1÷A1</t>
    <phoneticPr fontId="110" type="noConversion"/>
  </si>
  <si>
    <t>建安
投标报价
(B2)</t>
    <phoneticPr fontId="110" type="noConversion"/>
  </si>
  <si>
    <t>建安
评标基准价（A2）</t>
    <phoneticPr fontId="110" type="noConversion"/>
  </si>
  <si>
    <t>建安
C2值（若 B2&gt;A2，则 C2=31；若B2&lt;A2，则 C2=30）</t>
    <phoneticPr fontId="110" type="noConversion"/>
  </si>
  <si>
    <t>建安
投标报价得分(F2)
F2=100-|B2-A2|×C2÷A2</t>
    <phoneticPr fontId="110" type="noConversion"/>
  </si>
  <si>
    <t>设计
评审得分
投标报价得分×10%</t>
    <phoneticPr fontId="110" type="noConversion"/>
  </si>
  <si>
    <t>建安
评审得分
投标报价得分×50%</t>
    <phoneticPr fontId="110" type="noConversion"/>
  </si>
  <si>
    <t>设计
评审得分
（投标报价得分×10%）</t>
    <phoneticPr fontId="110" type="noConversion"/>
  </si>
  <si>
    <t>建安
评审得分
（投标报价得分×50%）</t>
    <phoneticPr fontId="110" type="noConversion"/>
  </si>
  <si>
    <t>总报价得分
（设计评审得分+建安评审得分）</t>
    <phoneticPr fontId="110" type="noConversion"/>
  </si>
  <si>
    <t>（设计）
投标报价
下浮率</t>
    <phoneticPr fontId="110" type="noConversion"/>
  </si>
  <si>
    <t>（建安）
投标报价
下浮率</t>
    <phoneticPr fontId="110" type="noConversion"/>
  </si>
  <si>
    <t>综合得分</t>
    <phoneticPr fontId="110" type="noConversion"/>
  </si>
  <si>
    <t>监督部门：</t>
    <phoneticPr fontId="110" type="noConversion"/>
  </si>
  <si>
    <t xml:space="preserve">  (2)开标过程在信宜市建设工程招标投标领导小组办公室等部门的监督下进行，由招标人、投标人和监标人代表检查所递交投标文件的密封情况，没有出现有提前开封或不符合招标文件密封要求的其他情形。</t>
    <phoneticPr fontId="110" type="noConversion"/>
  </si>
  <si>
    <t>信宜市建设工程招标投标领导小组办公室</t>
    <phoneticPr fontId="110" type="noConversion"/>
  </si>
  <si>
    <t xml:space="preserve">  (3)按照宣布的开标顺序当众拆封商务及经济报价投标文件，并要求投标人的法定代表人或其委托代理人出示身份证以证明其出席开标会，宣读投标人的投标报价及投标文件其它响应性的主要内容，开标记录情况表经有关人员签字确认后，开标过程没有出现废标情况。</t>
    <phoneticPr fontId="110" type="noConversion"/>
  </si>
  <si>
    <t xml:space="preserve">  (4)开标结束。</t>
    <phoneticPr fontId="110" type="noConversion"/>
  </si>
  <si>
    <t xml:space="preserve">  (1)评标时间：2018年8月8日11时30分～14时30分</t>
    <phoneticPr fontId="110" type="noConversion"/>
  </si>
  <si>
    <t>7、中标候选人确定</t>
    <phoneticPr fontId="110" type="noConversion"/>
  </si>
  <si>
    <r>
      <t>广东省002某某工程股份有限公司</t>
    </r>
    <r>
      <rPr>
        <sz val="12"/>
        <rFont val="宋体"/>
        <family val="3"/>
        <charset val="134"/>
      </rPr>
      <t/>
    </r>
  </si>
  <si>
    <r>
      <t>广东省003某某工程股份有限公司</t>
    </r>
    <r>
      <rPr>
        <sz val="12"/>
        <rFont val="宋体"/>
        <family val="3"/>
        <charset val="134"/>
      </rPr>
      <t/>
    </r>
  </si>
  <si>
    <r>
      <t>广东省004某某工程股份有限公司</t>
    </r>
    <r>
      <rPr>
        <sz val="12"/>
        <rFont val="宋体"/>
        <family val="3"/>
        <charset val="134"/>
      </rPr>
      <t/>
    </r>
  </si>
  <si>
    <r>
      <t>广东省005某某工程股份有限公司</t>
    </r>
    <r>
      <rPr>
        <sz val="12"/>
        <rFont val="宋体"/>
        <family val="3"/>
        <charset val="134"/>
      </rPr>
      <t/>
    </r>
  </si>
  <si>
    <r>
      <t>广东省006某某工程股份有限公司</t>
    </r>
    <r>
      <rPr>
        <sz val="12"/>
        <rFont val="宋体"/>
        <family val="3"/>
        <charset val="134"/>
      </rPr>
      <t/>
    </r>
  </si>
  <si>
    <r>
      <t>广东省001某某</t>
    </r>
    <r>
      <rPr>
        <sz val="12"/>
        <rFont val="宋体"/>
        <family val="3"/>
        <charset val="134"/>
      </rPr>
      <t>工程股份有限公司</t>
    </r>
    <phoneticPr fontId="110" type="noConversion"/>
  </si>
  <si>
    <t>广东省001某某工程股份有限公司</t>
    <phoneticPr fontId="110" type="noConversion"/>
  </si>
  <si>
    <t>广东省002某某工程股份有限公司</t>
  </si>
  <si>
    <t>广东省003某某工程股份有限公司</t>
  </si>
  <si>
    <t>广东省004某某工程股份有限公司</t>
  </si>
  <si>
    <t>广东省005某某工程股份有限公司</t>
  </si>
  <si>
    <t>广东省006某某工程股份有限公司</t>
  </si>
  <si>
    <t>序号</t>
    <phoneticPr fontId="110" type="noConversion"/>
  </si>
  <si>
    <t>设计
系数值(K1)</t>
    <phoneticPr fontId="110" type="noConversion"/>
  </si>
  <si>
    <t>建安
系数值(K2)</t>
    <phoneticPr fontId="110" type="noConversion"/>
  </si>
  <si>
    <t>设计系数值（K1）</t>
    <phoneticPr fontId="113" type="noConversion"/>
  </si>
  <si>
    <t>建安系数值（K2）</t>
    <phoneticPr fontId="113" type="noConversion"/>
  </si>
  <si>
    <t>建安第二次算术平均值（D2）</t>
    <phoneticPr fontId="113" type="noConversion"/>
  </si>
  <si>
    <t>（设计）
投标报价
下浮率
（A）</t>
    <phoneticPr fontId="110" type="noConversion"/>
  </si>
  <si>
    <t>（建安）
投标报价
下浮率
(B)</t>
    <phoneticPr fontId="110" type="noConversion"/>
  </si>
  <si>
    <t>商务得分</t>
    <phoneticPr fontId="110" type="noConversion"/>
  </si>
  <si>
    <t>信宜市住建局四楼办公室</t>
    <phoneticPr fontId="110" type="noConversion"/>
  </si>
  <si>
    <t>监督部门地址：</t>
    <phoneticPr fontId="110" type="noConversion"/>
  </si>
  <si>
    <t>监督部门电话:</t>
    <phoneticPr fontId="110" type="noConversion"/>
  </si>
  <si>
    <t>0668-8813024</t>
    <phoneticPr fontId="110" type="noConversion"/>
  </si>
  <si>
    <t>伍工</t>
    <phoneticPr fontId="110" type="noConversion"/>
  </si>
  <si>
    <t>信宜市东镇新尚路2号2楼</t>
    <phoneticPr fontId="110" type="noConversion"/>
  </si>
  <si>
    <t>招标人地址：</t>
    <phoneticPr fontId="110" type="noConversion"/>
  </si>
  <si>
    <t>招标代理联系人：</t>
    <phoneticPr fontId="110" type="noConversion"/>
  </si>
  <si>
    <t>招标人联系人：</t>
    <phoneticPr fontId="110" type="noConversion"/>
  </si>
  <si>
    <t>韦小姐</t>
    <phoneticPr fontId="110"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</si>
</sst>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39">
    <numFmt numFmtId="41" formatCode="_ * #,##0_ ;_ * \-#,##0_ ;_ * &quot;-&quot;_ ;_ @_ "/>
    <numFmt numFmtId="43" formatCode="_ * #,##0.00_ ;_ * \-#,##0.00_ ;_ * &quot;-&quot;??_ ;_ @_ "/>
    <numFmt numFmtId="176" formatCode="_-&quot;฿&quot;* #,##0_-;\-&quot;฿&quot;* #,##0_-;_-&quot;฿&quot;* &quot;-&quot;_-;_-@_-"/>
    <numFmt numFmtId="177" formatCode="_-&quot;$&quot;* #,##0_-;\-&quot;$&quot;* #,##0_-;_-&quot;$&quot;* &quot;-&quot;_-;_-@_-"/>
    <numFmt numFmtId="178" formatCode="&quot;$&quot;#,##0.00_);[Red]\(&quot;$&quot;#,##0.00\)"/>
    <numFmt numFmtId="179" formatCode="0&quot;日历天&quot;"/>
    <numFmt numFmtId="180" formatCode="&quot;按合同优惠折扣&quot;0%&quot;计算得:&quot;"/>
    <numFmt numFmtId="181" formatCode="0.0"/>
    <numFmt numFmtId="182" formatCode="_-&quot;$&quot;\ * #,##0_-;_-&quot;$&quot;\ * #,##0\-;_-&quot;$&quot;\ * &quot;-&quot;_-;_-@_-"/>
    <numFmt numFmtId="183" formatCode="0_ "/>
    <numFmt numFmtId="184" formatCode="#,##0.0_);\(#,##0.0\)"/>
    <numFmt numFmtId="185" formatCode="\$#,##0;\(\$#,##0\)"/>
    <numFmt numFmtId="186" formatCode="&quot;$&quot;\ #,##0.00_-;[Red]&quot;$&quot;\ #,##0.00\-"/>
    <numFmt numFmtId="187" formatCode="&quot;$&quot;\ #,##0_-;[Red]&quot;$&quot;\ #,##0\-"/>
    <numFmt numFmtId="188" formatCode="[$-F800]dddd\,\ mmmm\ dd\,\ yyyy"/>
    <numFmt numFmtId="189" formatCode="_-* #,##0.00_-;\-* #,##0.00_-;_-* &quot;-&quot;??_-;_-@_-"/>
    <numFmt numFmtId="190" formatCode="_(&quot;$&quot;* #,##0.00_);_(&quot;$&quot;* \(#,##0.00\);_(&quot;$&quot;* &quot;-&quot;??_);_(@_)"/>
    <numFmt numFmtId="191" formatCode="_-* #,##0.00_$_-;\-* #,##0.00_$_-;_-* &quot;-&quot;??_$_-;_-@_-"/>
    <numFmt numFmtId="192" formatCode="_-&quot;฿&quot;* #,##0.00_-;\-&quot;฿&quot;* #,##0.00_-;_-&quot;฿&quot;* &quot;-&quot;??_-;_-@_-"/>
    <numFmt numFmtId="193" formatCode="#,##0;\-#,##0;&quot;-&quot;"/>
    <numFmt numFmtId="194" formatCode="0.00_);[Red]\(0.00\)"/>
    <numFmt numFmtId="195" formatCode="0.000%"/>
    <numFmt numFmtId="196" formatCode="\$#,##0.00;\(\$#,##0.00\)"/>
    <numFmt numFmtId="197" formatCode="_-* #,##0_-;\-* #,##0_-;_-* &quot;-&quot;_-;_-@_-"/>
    <numFmt numFmtId="198" formatCode="_-* #,##0&quot;$&quot;_-;\-* #,##0&quot;$&quot;_-;_-* &quot;-&quot;&quot;$&quot;_-;_-@_-"/>
    <numFmt numFmtId="199" formatCode="yy\.mm\.dd"/>
    <numFmt numFmtId="200" formatCode="_(&quot;$&quot;* #,##0_);_(&quot;$&quot;* \(#,##0\);_(&quot;$&quot;* &quot;-&quot;_);_(@_)"/>
    <numFmt numFmtId="201" formatCode="#,##0;\(#,##0\)"/>
    <numFmt numFmtId="202" formatCode="0&quot;元&quot;"/>
    <numFmt numFmtId="203" formatCode="_-* #,##0_$_-;\-* #,##0_$_-;_-* &quot;-&quot;_$_-;_-@_-"/>
    <numFmt numFmtId="204" formatCode="_-&quot;$&quot;\ * #,##0.00_-;_-&quot;$&quot;\ * #,##0.00\-;_-&quot;$&quot;\ * &quot;-&quot;??_-;_-@_-"/>
    <numFmt numFmtId="205" formatCode="0.00_ "/>
    <numFmt numFmtId="206" formatCode="_-* #,##0.00&quot;$&quot;_-;\-* #,##0.00&quot;$&quot;_-;_-* &quot;-&quot;??&quot;$&quot;_-;_-@_-"/>
    <numFmt numFmtId="207" formatCode="_ \¥* #,##0.00_ ;_ \¥* \-#,##0.00_ ;_ \¥* &quot;-&quot;??_ ;_ @_ "/>
    <numFmt numFmtId="208" formatCode="&quot;$&quot;#,##0_);[Red]\(&quot;$&quot;#,##0\)"/>
    <numFmt numFmtId="209" formatCode="0_);\(0\)"/>
    <numFmt numFmtId="210" formatCode="0.00;[Red]0.00"/>
    <numFmt numFmtId="211" formatCode="0&quot;分&quot;"/>
    <numFmt numFmtId="212" formatCode="&quot;编&quot;&quot;号&quot;0"/>
  </numFmts>
  <fonts count="118">
    <font>
      <sz val="12"/>
      <name val="宋体"/>
      <charset val="134"/>
    </font>
    <font>
      <sz val="12"/>
      <name val="仿宋"/>
      <family val="3"/>
      <charset val="134"/>
    </font>
    <font>
      <sz val="21"/>
      <name val="宋体"/>
      <family val="3"/>
      <charset val="134"/>
      <scheme val="minor"/>
    </font>
    <font>
      <sz val="12"/>
      <name val="宋体"/>
      <family val="3"/>
      <charset val="134"/>
      <scheme val="minor"/>
    </font>
    <font>
      <sz val="14"/>
      <name val="宋体"/>
      <family val="3"/>
      <charset val="134"/>
      <scheme val="minor"/>
    </font>
    <font>
      <sz val="14"/>
      <color rgb="FF000000"/>
      <name val="宋体"/>
      <family val="3"/>
      <charset val="134"/>
      <scheme val="minor"/>
    </font>
    <font>
      <sz val="15"/>
      <name val="宋体"/>
      <family val="3"/>
      <charset val="134"/>
      <scheme val="minor"/>
    </font>
    <font>
      <sz val="16"/>
      <name val="宋体"/>
      <family val="3"/>
      <charset val="134"/>
      <scheme val="minor"/>
    </font>
    <font>
      <sz val="10"/>
      <name val="仿宋"/>
      <family val="3"/>
      <charset val="134"/>
    </font>
    <font>
      <b/>
      <sz val="18"/>
      <color indexed="8"/>
      <name val="宋体"/>
      <family val="3"/>
      <charset val="134"/>
    </font>
    <font>
      <sz val="11"/>
      <color indexed="8"/>
      <name val="宋体"/>
      <family val="3"/>
      <charset val="134"/>
    </font>
    <font>
      <sz val="11"/>
      <color theme="1"/>
      <name val="宋体"/>
      <family val="3"/>
      <charset val="134"/>
    </font>
    <font>
      <sz val="11"/>
      <name val="宋体"/>
      <family val="3"/>
      <charset val="134"/>
    </font>
    <font>
      <sz val="10"/>
      <color indexed="8"/>
      <name val="宋体"/>
      <family val="3"/>
      <charset val="134"/>
    </font>
    <font>
      <sz val="11"/>
      <name val="Times New Roman"/>
      <family val="1"/>
    </font>
    <font>
      <sz val="12"/>
      <name val="Times New Roman"/>
      <family val="1"/>
    </font>
    <font>
      <b/>
      <sz val="18"/>
      <name val="宋体"/>
      <family val="3"/>
      <charset val="134"/>
    </font>
    <font>
      <b/>
      <sz val="18"/>
      <name val="Times New Roman"/>
      <family val="1"/>
    </font>
    <font>
      <sz val="10"/>
      <name val="Times New Roman"/>
      <family val="1"/>
    </font>
    <font>
      <b/>
      <sz val="21"/>
      <name val="宋体"/>
      <family val="3"/>
      <charset val="134"/>
    </font>
    <font>
      <b/>
      <sz val="13.75"/>
      <name val="宋体"/>
      <family val="3"/>
      <charset val="134"/>
    </font>
    <font>
      <sz val="12"/>
      <color theme="1"/>
      <name val="宋体"/>
      <family val="3"/>
      <charset val="134"/>
    </font>
    <font>
      <b/>
      <sz val="17"/>
      <name val="宋体"/>
      <family val="3"/>
      <charset val="134"/>
    </font>
    <font>
      <b/>
      <sz val="12"/>
      <name val="宋体"/>
      <family val="3"/>
      <charset val="134"/>
    </font>
    <font>
      <b/>
      <sz val="12"/>
      <color theme="1"/>
      <name val="宋体"/>
      <family val="3"/>
      <charset val="134"/>
    </font>
    <font>
      <b/>
      <sz val="16"/>
      <name val="宋体"/>
      <family val="3"/>
      <charset val="134"/>
    </font>
    <font>
      <sz val="11"/>
      <color indexed="10"/>
      <name val="宋体"/>
      <family val="3"/>
      <charset val="134"/>
    </font>
    <font>
      <b/>
      <sz val="20"/>
      <name val="宋体"/>
      <family val="3"/>
      <charset val="134"/>
    </font>
    <font>
      <sz val="11.5"/>
      <name val="宋体"/>
      <family val="3"/>
      <charset val="134"/>
    </font>
    <font>
      <sz val="12"/>
      <color rgb="FFFF0000"/>
      <name val="宋体"/>
      <family val="3"/>
      <charset val="134"/>
    </font>
    <font>
      <sz val="10"/>
      <name val="宋体"/>
      <family val="3"/>
      <charset val="134"/>
    </font>
    <font>
      <sz val="14"/>
      <name val="宋体"/>
      <family val="3"/>
      <charset val="134"/>
    </font>
    <font>
      <b/>
      <sz val="11.5"/>
      <name val="宋体"/>
      <family val="3"/>
      <charset val="134"/>
    </font>
    <font>
      <sz val="12"/>
      <color indexed="8"/>
      <name val="宋体"/>
      <family val="3"/>
      <charset val="134"/>
    </font>
    <font>
      <b/>
      <sz val="14"/>
      <name val="宋体"/>
      <family val="3"/>
      <charset val="134"/>
    </font>
    <font>
      <b/>
      <sz val="11"/>
      <name val="宋体"/>
      <family val="3"/>
      <charset val="134"/>
    </font>
    <font>
      <b/>
      <sz val="20"/>
      <name val="宋体"/>
      <family val="3"/>
      <charset val="134"/>
      <scheme val="minor"/>
    </font>
    <font>
      <sz val="20"/>
      <name val="宋体"/>
      <family val="3"/>
      <charset val="134"/>
      <scheme val="minor"/>
    </font>
    <font>
      <sz val="15"/>
      <name val="宋体"/>
      <family val="3"/>
      <charset val="134"/>
    </font>
    <font>
      <sz val="16"/>
      <name val="宋体"/>
      <family val="3"/>
      <charset val="134"/>
    </font>
    <font>
      <sz val="12"/>
      <color indexed="9"/>
      <name val="宋体"/>
      <family val="3"/>
      <charset val="134"/>
    </font>
    <font>
      <sz val="11"/>
      <color indexed="20"/>
      <name val="宋体"/>
      <family val="3"/>
      <charset val="134"/>
    </font>
    <font>
      <b/>
      <sz val="15"/>
      <color indexed="56"/>
      <name val="宋体"/>
      <family val="3"/>
      <charset val="134"/>
    </font>
    <font>
      <sz val="11"/>
      <color indexed="9"/>
      <name val="宋体"/>
      <family val="3"/>
      <charset val="134"/>
    </font>
    <font>
      <sz val="12"/>
      <color indexed="8"/>
      <name val="楷体_GB2312"/>
      <charset val="134"/>
    </font>
    <font>
      <sz val="10"/>
      <name val="Helv"/>
      <family val="2"/>
    </font>
    <font>
      <sz val="11"/>
      <color indexed="52"/>
      <name val="宋体"/>
      <family val="3"/>
      <charset val="134"/>
    </font>
    <font>
      <sz val="11"/>
      <color indexed="62"/>
      <name val="宋体"/>
      <family val="3"/>
      <charset val="134"/>
    </font>
    <font>
      <b/>
      <sz val="13"/>
      <color indexed="56"/>
      <name val="宋体"/>
      <family val="3"/>
      <charset val="134"/>
    </font>
    <font>
      <sz val="10"/>
      <name val="Geneva"/>
      <family val="1"/>
    </font>
    <font>
      <sz val="11"/>
      <color indexed="17"/>
      <name val="宋体"/>
      <family val="3"/>
      <charset val="134"/>
    </font>
    <font>
      <sz val="11"/>
      <color indexed="28"/>
      <name val="宋体"/>
      <family val="3"/>
      <charset val="134"/>
    </font>
    <font>
      <sz val="8"/>
      <name val="Times New Roman"/>
      <family val="1"/>
    </font>
    <font>
      <sz val="10.5"/>
      <color indexed="20"/>
      <name val="宋体"/>
      <family val="3"/>
      <charset val="134"/>
    </font>
    <font>
      <b/>
      <sz val="11"/>
      <color indexed="56"/>
      <name val="宋体"/>
      <family val="3"/>
      <charset val="134"/>
    </font>
    <font>
      <sz val="12"/>
      <name val="????"/>
      <family val="1"/>
    </font>
    <font>
      <sz val="12"/>
      <color indexed="20"/>
      <name val="楷体_GB2312"/>
      <charset val="134"/>
    </font>
    <font>
      <sz val="10"/>
      <color indexed="8"/>
      <name val="Arial"/>
      <family val="2"/>
    </font>
    <font>
      <sz val="10"/>
      <name val="Arial"/>
      <family val="2"/>
    </font>
    <font>
      <sz val="12"/>
      <color indexed="20"/>
      <name val="宋体"/>
      <family val="3"/>
      <charset val="134"/>
    </font>
    <font>
      <sz val="12"/>
      <color indexed="17"/>
      <name val="宋体"/>
      <family val="3"/>
      <charset val="134"/>
    </font>
    <font>
      <sz val="10"/>
      <name val="楷体"/>
      <family val="3"/>
      <charset val="134"/>
    </font>
    <font>
      <b/>
      <sz val="18"/>
      <color indexed="56"/>
      <name val="宋体"/>
      <family val="3"/>
      <charset val="134"/>
    </font>
    <font>
      <sz val="12"/>
      <color indexed="9"/>
      <name val="楷体_GB2312"/>
      <charset val="134"/>
    </font>
    <font>
      <sz val="12"/>
      <color indexed="17"/>
      <name val="楷体_GB2312"/>
      <charset val="134"/>
    </font>
    <font>
      <sz val="12"/>
      <color indexed="10"/>
      <name val="楷体_GB2312"/>
      <charset val="134"/>
    </font>
    <font>
      <sz val="11"/>
      <color indexed="60"/>
      <name val="宋体"/>
      <family val="3"/>
      <charset val="134"/>
    </font>
    <font>
      <b/>
      <sz val="10"/>
      <name val="Tms Rmn"/>
      <family val="1"/>
    </font>
    <font>
      <sz val="10"/>
      <name val="MS Sans Serif"/>
      <family val="1"/>
    </font>
    <font>
      <b/>
      <sz val="15"/>
      <color indexed="56"/>
      <name val="楷体_GB2312"/>
      <charset val="134"/>
    </font>
    <font>
      <b/>
      <sz val="11"/>
      <color indexed="52"/>
      <name val="宋体"/>
      <family val="3"/>
      <charset val="134"/>
    </font>
    <font>
      <b/>
      <sz val="12"/>
      <name val="Arial"/>
      <family val="2"/>
    </font>
    <font>
      <sz val="12"/>
      <color indexed="16"/>
      <name val="宋体"/>
      <family val="3"/>
      <charset val="134"/>
    </font>
    <font>
      <i/>
      <sz val="11"/>
      <color indexed="23"/>
      <name val="宋体"/>
      <family val="3"/>
      <charset val="134"/>
    </font>
    <font>
      <b/>
      <sz val="10"/>
      <name val="MS Sans Serif"/>
      <family val="2"/>
    </font>
    <font>
      <sz val="10"/>
      <color indexed="8"/>
      <name val="MS Sans Serif"/>
      <family val="2"/>
    </font>
    <font>
      <b/>
      <sz val="18"/>
      <name val="Arial"/>
      <family val="2"/>
    </font>
    <font>
      <sz val="12"/>
      <name val="Helv"/>
      <family val="2"/>
    </font>
    <font>
      <b/>
      <sz val="11"/>
      <color indexed="63"/>
      <name val="宋体"/>
      <family val="3"/>
      <charset val="134"/>
    </font>
    <font>
      <sz val="7"/>
      <name val="Small Fonts"/>
      <charset val="134"/>
    </font>
    <font>
      <sz val="12"/>
      <name val="Arial"/>
      <family val="2"/>
    </font>
    <font>
      <sz val="8"/>
      <name val="Arial"/>
      <family val="2"/>
    </font>
    <font>
      <b/>
      <sz val="11"/>
      <color indexed="9"/>
      <name val="宋体"/>
      <family val="3"/>
      <charset val="134"/>
    </font>
    <font>
      <sz val="12"/>
      <color indexed="9"/>
      <name val="Helv"/>
      <family val="2"/>
    </font>
    <font>
      <b/>
      <sz val="13"/>
      <color indexed="56"/>
      <name val="楷体_GB2312"/>
      <charset val="134"/>
    </font>
    <font>
      <sz val="14"/>
      <name val="AngsanaUPC"/>
      <family val="1"/>
    </font>
    <font>
      <sz val="12"/>
      <name val="바탕체"/>
      <charset val="134"/>
    </font>
    <font>
      <b/>
      <sz val="10"/>
      <name val="Arial"/>
      <family val="2"/>
    </font>
    <font>
      <b/>
      <sz val="11"/>
      <color indexed="56"/>
      <name val="楷体_GB2312"/>
      <charset val="134"/>
    </font>
    <font>
      <b/>
      <sz val="14"/>
      <name val="楷体"/>
      <family val="3"/>
      <charset val="134"/>
    </font>
    <font>
      <b/>
      <sz val="18"/>
      <color indexed="62"/>
      <name val="宋体"/>
      <family val="3"/>
      <charset val="134"/>
    </font>
    <font>
      <sz val="10"/>
      <color indexed="20"/>
      <name val="宋体"/>
      <family val="3"/>
      <charset val="134"/>
    </font>
    <font>
      <b/>
      <sz val="12"/>
      <color indexed="8"/>
      <name val="楷体_GB2312"/>
      <charset val="134"/>
    </font>
    <font>
      <sz val="12"/>
      <color indexed="62"/>
      <name val="楷体_GB2312"/>
      <charset val="134"/>
    </font>
    <font>
      <sz val="10"/>
      <color indexed="17"/>
      <name val="宋体"/>
      <family val="3"/>
      <charset val="134"/>
    </font>
    <font>
      <sz val="10.5"/>
      <color indexed="17"/>
      <name val="宋体"/>
      <family val="3"/>
      <charset val="134"/>
    </font>
    <font>
      <b/>
      <sz val="9"/>
      <name val="Arial"/>
      <family val="2"/>
    </font>
    <font>
      <u/>
      <sz val="12"/>
      <color indexed="20"/>
      <name val="宋体"/>
      <family val="3"/>
      <charset val="134"/>
    </font>
    <font>
      <b/>
      <sz val="11"/>
      <color indexed="8"/>
      <name val="宋体"/>
      <family val="3"/>
      <charset val="134"/>
    </font>
    <font>
      <b/>
      <sz val="12"/>
      <color indexed="52"/>
      <name val="楷体_GB2312"/>
      <charset val="134"/>
    </font>
    <font>
      <b/>
      <sz val="12"/>
      <color indexed="9"/>
      <name val="楷体_GB2312"/>
      <charset val="134"/>
    </font>
    <font>
      <i/>
      <sz val="12"/>
      <color indexed="23"/>
      <name val="楷体_GB2312"/>
      <charset val="134"/>
    </font>
    <font>
      <sz val="12"/>
      <color indexed="52"/>
      <name val="楷体_GB2312"/>
      <charset val="134"/>
    </font>
    <font>
      <sz val="12"/>
      <name val="官帕眉"/>
      <charset val="134"/>
    </font>
    <font>
      <b/>
      <sz val="12"/>
      <color indexed="8"/>
      <name val="宋体"/>
      <family val="3"/>
      <charset val="134"/>
    </font>
    <font>
      <sz val="12"/>
      <color indexed="60"/>
      <name val="楷体_GB2312"/>
      <charset val="134"/>
    </font>
    <font>
      <b/>
      <sz val="12"/>
      <color indexed="63"/>
      <name val="楷体_GB2312"/>
      <charset val="134"/>
    </font>
    <font>
      <sz val="12"/>
      <name val="Courier"/>
      <family val="3"/>
    </font>
    <font>
      <sz val="12"/>
      <name val="宋体"/>
      <family val="3"/>
      <charset val="134"/>
    </font>
    <font>
      <b/>
      <sz val="18"/>
      <name val="宋体"/>
      <family val="3"/>
      <charset val="134"/>
    </font>
    <font>
      <sz val="9"/>
      <name val="宋体"/>
      <family val="3"/>
      <charset val="134"/>
    </font>
    <font>
      <sz val="12"/>
      <name val="TimesNewRomanPSMT"/>
    </font>
    <font>
      <sz val="8"/>
      <name val="宋体"/>
      <family val="3"/>
      <charset val="134"/>
    </font>
    <font>
      <sz val="9"/>
      <name val="宋体"/>
      <family val="3"/>
      <charset val="134"/>
    </font>
    <font>
      <sz val="11"/>
      <color rgb="FFFF0000"/>
      <name val="宋体"/>
      <family val="3"/>
      <charset val="134"/>
    </font>
    <font>
      <sz val="11"/>
      <color rgb="FFFF0000"/>
      <name val="Times New Roman"/>
      <family val="1"/>
    </font>
    <font>
      <sz val="11.5"/>
      <color rgb="FFFF0000"/>
      <name val="宋体"/>
      <family val="3"/>
      <charset val="134"/>
    </font>
    <font>
      <sz val="12"/>
      <color rgb="FF0070C0"/>
      <name val="宋体"/>
      <family val="3"/>
      <charset val="134"/>
    </font>
  </fonts>
  <fills count="33">
    <fill>
      <patternFill patternType="none"/>
    </fill>
    <fill>
      <patternFill patternType="gray125"/>
    </fill>
    <fill>
      <patternFill patternType="solid">
        <fgColor indexed="42"/>
        <bgColor indexed="64"/>
      </patternFill>
    </fill>
    <fill>
      <patternFill patternType="solid">
        <fgColor indexed="49"/>
        <bgColor indexed="64"/>
      </patternFill>
    </fill>
    <fill>
      <patternFill patternType="solid">
        <fgColor indexed="27"/>
        <bgColor indexed="64"/>
      </patternFill>
    </fill>
    <fill>
      <patternFill patternType="solid">
        <fgColor indexed="45"/>
        <bgColor indexed="64"/>
      </patternFill>
    </fill>
    <fill>
      <patternFill patternType="solid">
        <fgColor indexed="52"/>
        <bgColor indexed="64"/>
      </patternFill>
    </fill>
    <fill>
      <patternFill patternType="solid">
        <fgColor indexed="46"/>
        <bgColor indexed="64"/>
      </patternFill>
    </fill>
    <fill>
      <patternFill patternType="solid">
        <fgColor indexed="29"/>
        <bgColor indexed="64"/>
      </patternFill>
    </fill>
    <fill>
      <patternFill patternType="solid">
        <fgColor indexed="31"/>
        <bgColor indexed="64"/>
      </patternFill>
    </fill>
    <fill>
      <patternFill patternType="solid">
        <fgColor indexed="47"/>
        <bgColor indexed="64"/>
      </patternFill>
    </fill>
    <fill>
      <patternFill patternType="solid">
        <fgColor indexed="22"/>
        <bgColor indexed="64"/>
      </patternFill>
    </fill>
    <fill>
      <patternFill patternType="solid">
        <fgColor indexed="54"/>
        <bgColor indexed="64"/>
      </patternFill>
    </fill>
    <fill>
      <patternFill patternType="solid">
        <fgColor indexed="55"/>
        <bgColor indexed="64"/>
      </patternFill>
    </fill>
    <fill>
      <patternFill patternType="solid">
        <fgColor indexed="26"/>
        <bgColor indexed="64"/>
      </patternFill>
    </fill>
    <fill>
      <patternFill patternType="solid">
        <fgColor indexed="44"/>
        <bgColor indexed="64"/>
      </patternFill>
    </fill>
    <fill>
      <patternFill patternType="solid">
        <fgColor indexed="11"/>
        <bgColor indexed="64"/>
      </patternFill>
    </fill>
    <fill>
      <patternFill patternType="solid">
        <fgColor indexed="30"/>
        <bgColor indexed="64"/>
      </patternFill>
    </fill>
    <fill>
      <patternFill patternType="solid">
        <fgColor indexed="25"/>
        <bgColor indexed="64"/>
      </patternFill>
    </fill>
    <fill>
      <patternFill patternType="solid">
        <fgColor indexed="36"/>
        <bgColor indexed="64"/>
      </patternFill>
    </fill>
    <fill>
      <patternFill patternType="solid">
        <fgColor indexed="43"/>
        <bgColor indexed="64"/>
      </patternFill>
    </fill>
    <fill>
      <patternFill patternType="solid">
        <fgColor indexed="51"/>
        <bgColor indexed="64"/>
      </patternFill>
    </fill>
    <fill>
      <patternFill patternType="gray0625"/>
    </fill>
    <fill>
      <patternFill patternType="solid">
        <fgColor indexed="15"/>
        <bgColor indexed="64"/>
      </patternFill>
    </fill>
    <fill>
      <patternFill patternType="solid">
        <fgColor indexed="12"/>
        <bgColor indexed="64"/>
      </patternFill>
    </fill>
    <fill>
      <patternFill patternType="mediumGray">
        <fgColor indexed="22"/>
      </patternFill>
    </fill>
    <fill>
      <patternFill patternType="solid">
        <fgColor indexed="53"/>
        <bgColor indexed="64"/>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2"/>
        <bgColor indexed="64"/>
      </patternFill>
    </fill>
    <fill>
      <patternFill patternType="solid">
        <fgColor indexed="10"/>
        <bgColor indexed="64"/>
      </patternFill>
    </fill>
    <fill>
      <patternFill patternType="solid">
        <fgColor indexed="57"/>
        <bgColor indexed="64"/>
      </patternFill>
    </fill>
  </fills>
  <borders count="2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top style="thin">
        <color auto="1"/>
      </top>
      <bottom/>
      <diagonal/>
    </border>
    <border>
      <left/>
      <right style="thin">
        <color auto="1"/>
      </right>
      <top style="thin">
        <color auto="1"/>
      </top>
      <bottom/>
      <diagonal/>
    </border>
    <border>
      <left/>
      <right style="thin">
        <color auto="1"/>
      </right>
      <top/>
      <bottom style="thin">
        <color auto="1"/>
      </bottom>
      <diagonal/>
    </border>
    <border>
      <left/>
      <right/>
      <top/>
      <bottom style="thick">
        <color indexed="62"/>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22"/>
      </bottom>
      <diagonal/>
    </border>
    <border>
      <left/>
      <right/>
      <top/>
      <bottom style="medium">
        <color indexed="30"/>
      </bottom>
      <diagonal/>
    </border>
    <border>
      <left/>
      <right/>
      <top/>
      <bottom style="medium">
        <color auto="1"/>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right/>
      <top style="thin">
        <color auto="1"/>
      </top>
      <bottom style="double">
        <color auto="1"/>
      </bottom>
      <diagonal/>
    </border>
    <border>
      <left style="double">
        <color indexed="63"/>
      </left>
      <right style="double">
        <color indexed="63"/>
      </right>
      <top style="double">
        <color indexed="63"/>
      </top>
      <bottom style="double">
        <color indexed="63"/>
      </bottom>
      <diagonal/>
    </border>
    <border>
      <left/>
      <right/>
      <top style="medium">
        <color auto="1"/>
      </top>
      <bottom style="medium">
        <color auto="1"/>
      </bottom>
      <diagonal/>
    </border>
    <border>
      <left/>
      <right/>
      <top style="thin">
        <color indexed="62"/>
      </top>
      <bottom style="double">
        <color indexed="62"/>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style="thin">
        <color indexed="64"/>
      </left>
      <right style="thin">
        <color indexed="64"/>
      </right>
      <top style="thin">
        <color indexed="64"/>
      </top>
      <bottom style="thin">
        <color indexed="64"/>
      </bottom>
      <diagonal/>
    </border>
  </borders>
  <cellStyleXfs count="1028">
    <xf numFmtId="0" fontId="0" fillId="0" borderId="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41" fillId="5" borderId="0" applyNumberFormat="0" applyBorder="0" applyAlignment="0" applyProtection="0">
      <alignment vertical="center"/>
    </xf>
    <xf numFmtId="0" fontId="51" fillId="5" borderId="0" applyNumberFormat="0" applyBorder="0" applyAlignment="0" applyProtection="0">
      <alignment vertical="center"/>
    </xf>
    <xf numFmtId="0" fontId="52" fillId="0" borderId="0">
      <alignment horizontal="center" wrapText="1"/>
      <protection locked="0"/>
    </xf>
    <xf numFmtId="0" fontId="41" fillId="5" borderId="0" applyNumberFormat="0" applyBorder="0" applyAlignment="0" applyProtection="0">
      <alignment vertical="center"/>
    </xf>
    <xf numFmtId="49" fontId="108" fillId="0" borderId="0" applyFont="0" applyFill="0" applyBorder="0" applyAlignment="0" applyProtection="0"/>
    <xf numFmtId="0" fontId="41" fillId="5" borderId="0" applyNumberFormat="0" applyBorder="0" applyAlignment="0" applyProtection="0">
      <alignment vertical="center"/>
    </xf>
    <xf numFmtId="0" fontId="33" fillId="11" borderId="0" applyNumberFormat="0" applyBorder="0" applyAlignment="0" applyProtection="0"/>
    <xf numFmtId="0" fontId="41" fillId="7"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7" fillId="10" borderId="15" applyNumberFormat="0" applyAlignment="0" applyProtection="0">
      <alignment vertical="center"/>
    </xf>
    <xf numFmtId="0" fontId="40" fillId="13" borderId="0" applyNumberFormat="0" applyBorder="0" applyAlignment="0" applyProtection="0"/>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15" fillId="0" borderId="0"/>
    <xf numFmtId="0" fontId="43" fillId="8" borderId="0" applyNumberFormat="0" applyBorder="0" applyAlignment="0" applyProtection="0">
      <alignment vertical="center"/>
    </xf>
    <xf numFmtId="0" fontId="56" fillId="5" borderId="0" applyNumberFormat="0" applyBorder="0" applyAlignment="0" applyProtection="0">
      <alignment vertical="center"/>
    </xf>
    <xf numFmtId="0" fontId="56" fillId="5" borderId="0" applyNumberFormat="0" applyBorder="0" applyAlignment="0" applyProtection="0">
      <alignment vertical="center"/>
    </xf>
    <xf numFmtId="0" fontId="41" fillId="5" borderId="0" applyNumberFormat="0" applyBorder="0" applyAlignment="0" applyProtection="0">
      <alignment vertical="center"/>
    </xf>
    <xf numFmtId="9" fontId="108" fillId="0" borderId="0" applyFont="0" applyFill="0" applyBorder="0" applyAlignment="0" applyProtection="0">
      <alignment vertical="center"/>
    </xf>
    <xf numFmtId="0" fontId="41" fillId="5" borderId="0" applyNumberFormat="0" applyBorder="0" applyAlignment="0" applyProtection="0">
      <alignment vertical="center"/>
    </xf>
    <xf numFmtId="0" fontId="49" fillId="0" borderId="0"/>
    <xf numFmtId="0" fontId="40" fillId="12" borderId="0" applyNumberFormat="0" applyBorder="0" applyAlignment="0" applyProtection="0"/>
    <xf numFmtId="0" fontId="40" fillId="6" borderId="0" applyNumberFormat="0" applyBorder="0" applyAlignment="0" applyProtection="0"/>
    <xf numFmtId="0" fontId="41" fillId="5" borderId="0" applyNumberFormat="0" applyBorder="0" applyAlignment="0" applyProtection="0">
      <alignment vertical="center"/>
    </xf>
    <xf numFmtId="0" fontId="47" fillId="10" borderId="15" applyNumberFormat="0" applyAlignment="0" applyProtection="0">
      <alignment vertical="center"/>
    </xf>
    <xf numFmtId="0" fontId="44" fillId="7" borderId="0" applyNumberFormat="0" applyBorder="0" applyAlignment="0" applyProtection="0">
      <alignment vertical="center"/>
    </xf>
    <xf numFmtId="177" fontId="108" fillId="0" borderId="0" applyFont="0" applyFill="0" applyBorder="0" applyAlignment="0" applyProtection="0"/>
    <xf numFmtId="0" fontId="53" fillId="7" borderId="0" applyNumberFormat="0" applyBorder="0" applyAlignment="0" applyProtection="0">
      <alignment vertical="center"/>
    </xf>
    <xf numFmtId="0" fontId="10" fillId="2" borderId="0" applyNumberFormat="0" applyBorder="0" applyAlignment="0" applyProtection="0">
      <alignment vertical="center"/>
    </xf>
    <xf numFmtId="0" fontId="10" fillId="2" borderId="0" applyNumberFormat="0" applyBorder="0" applyAlignment="0" applyProtection="0">
      <alignment vertical="center"/>
    </xf>
    <xf numFmtId="0" fontId="54" fillId="0" borderId="17" applyNumberFormat="0" applyFill="0" applyAlignment="0" applyProtection="0">
      <alignment vertical="center"/>
    </xf>
    <xf numFmtId="0" fontId="41" fillId="5" borderId="0" applyNumberFormat="0" applyBorder="0" applyAlignment="0" applyProtection="0">
      <alignment vertical="center"/>
    </xf>
    <xf numFmtId="41" fontId="108" fillId="0" borderId="0" applyFont="0" applyFill="0" applyBorder="0" applyAlignment="0" applyProtection="0">
      <alignment vertical="center"/>
    </xf>
    <xf numFmtId="0" fontId="41" fillId="5" borderId="0" applyNumberFormat="0" applyBorder="0" applyAlignment="0" applyProtection="0">
      <alignment vertical="center"/>
    </xf>
    <xf numFmtId="0" fontId="33" fillId="11" borderId="0" applyNumberFormat="0" applyBorder="0" applyAlignment="0" applyProtection="0"/>
    <xf numFmtId="0" fontId="108" fillId="0" borderId="0" applyNumberFormat="0" applyFont="0" applyFill="0" applyBorder="0" applyAlignment="0" applyProtection="0">
      <alignment horizontal="left"/>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53" fillId="7"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5" fillId="0" borderId="0"/>
    <xf numFmtId="0" fontId="54" fillId="0" borderId="17" applyNumberFormat="0" applyFill="0" applyAlignment="0" applyProtection="0">
      <alignment vertical="center"/>
    </xf>
    <xf numFmtId="0" fontId="41" fillId="5" borderId="0" applyNumberFormat="0" applyBorder="0" applyAlignment="0" applyProtection="0">
      <alignment vertical="center"/>
    </xf>
    <xf numFmtId="0" fontId="15" fillId="0" borderId="0"/>
    <xf numFmtId="0" fontId="41" fillId="5" borderId="0" applyNumberFormat="0" applyBorder="0" applyAlignment="0" applyProtection="0">
      <alignment vertical="center"/>
    </xf>
    <xf numFmtId="0" fontId="15" fillId="0" borderId="0">
      <protection locked="0"/>
    </xf>
    <xf numFmtId="0" fontId="41" fillId="5" borderId="0" applyNumberFormat="0" applyBorder="0" applyAlignment="0" applyProtection="0">
      <alignment vertical="center"/>
    </xf>
    <xf numFmtId="0" fontId="15" fillId="0" borderId="0">
      <protection locked="0"/>
    </xf>
    <xf numFmtId="0" fontId="15" fillId="0" borderId="0"/>
    <xf numFmtId="0" fontId="45" fillId="0" borderId="0"/>
    <xf numFmtId="0" fontId="15" fillId="0" borderId="0">
      <protection locked="0"/>
    </xf>
    <xf numFmtId="0" fontId="40" fillId="3" borderId="0" applyNumberFormat="0" applyBorder="0" applyAlignment="0" applyProtection="0"/>
    <xf numFmtId="0" fontId="58" fillId="0" borderId="0"/>
    <xf numFmtId="0" fontId="57" fillId="0" borderId="0" applyNumberFormat="0" applyFill="0" applyBorder="0" applyAlignment="0" applyProtection="0">
      <alignment vertical="top"/>
    </xf>
    <xf numFmtId="0" fontId="108" fillId="0" borderId="0">
      <alignment vertical="center"/>
    </xf>
    <xf numFmtId="0" fontId="59" fillId="7" borderId="0" applyNumberFormat="0" applyBorder="0" applyAlignment="0" applyProtection="0">
      <alignment vertical="center"/>
    </xf>
    <xf numFmtId="0" fontId="55" fillId="0" borderId="0"/>
    <xf numFmtId="0" fontId="108" fillId="0" borderId="0"/>
    <xf numFmtId="0" fontId="41" fillId="5" borderId="0" applyNumberFormat="0" applyBorder="0" applyAlignment="0" applyProtection="0">
      <alignment vertical="center"/>
    </xf>
    <xf numFmtId="0" fontId="49" fillId="0" borderId="0"/>
    <xf numFmtId="0" fontId="15" fillId="0" borderId="0"/>
    <xf numFmtId="0" fontId="33" fillId="14" borderId="0" applyNumberFormat="0" applyBorder="0" applyAlignment="0" applyProtection="0"/>
    <xf numFmtId="0" fontId="49" fillId="0" borderId="0"/>
    <xf numFmtId="9" fontId="108" fillId="0" borderId="0" applyFont="0" applyFill="0" applyBorder="0" applyAlignment="0" applyProtection="0"/>
    <xf numFmtId="0" fontId="46" fillId="0" borderId="14" applyNumberFormat="0" applyFill="0" applyAlignment="0" applyProtection="0">
      <alignment vertical="center"/>
    </xf>
    <xf numFmtId="0" fontId="45" fillId="0" borderId="0"/>
    <xf numFmtId="0" fontId="42" fillId="0" borderId="13" applyNumberFormat="0" applyFill="0" applyAlignment="0" applyProtection="0">
      <alignment vertical="center"/>
    </xf>
    <xf numFmtId="0" fontId="41" fillId="5" borderId="0" applyNumberFormat="0" applyBorder="0" applyAlignment="0" applyProtection="0">
      <alignment vertical="center"/>
    </xf>
    <xf numFmtId="0" fontId="15" fillId="0" borderId="0"/>
    <xf numFmtId="0" fontId="41" fillId="5" borderId="0" applyNumberFormat="0" applyBorder="0" applyAlignment="0" applyProtection="0">
      <alignment vertical="center"/>
    </xf>
    <xf numFmtId="49" fontId="108" fillId="0" borderId="0" applyFont="0" applyFill="0" applyBorder="0" applyAlignment="0" applyProtection="0"/>
    <xf numFmtId="0" fontId="44" fillId="2" borderId="0" applyNumberFormat="0" applyBorder="0" applyAlignment="0" applyProtection="0">
      <alignment vertical="center"/>
    </xf>
    <xf numFmtId="0" fontId="48" fillId="0" borderId="16" applyNumberFormat="0" applyFill="0" applyAlignment="0" applyProtection="0">
      <alignment vertical="center"/>
    </xf>
    <xf numFmtId="0" fontId="45" fillId="0" borderId="0"/>
    <xf numFmtId="0" fontId="49" fillId="0" borderId="0"/>
    <xf numFmtId="0" fontId="33" fillId="4" borderId="0" applyNumberFormat="0" applyBorder="0" applyAlignment="0" applyProtection="0"/>
    <xf numFmtId="0" fontId="15" fillId="0" borderId="0">
      <protection locked="0"/>
    </xf>
    <xf numFmtId="4" fontId="108" fillId="0" borderId="0" applyFont="0" applyFill="0" applyBorder="0" applyAlignment="0" applyProtection="0"/>
    <xf numFmtId="0" fontId="10" fillId="9" borderId="0" applyNumberFormat="0" applyBorder="0" applyAlignment="0" applyProtection="0">
      <alignment vertical="center"/>
    </xf>
    <xf numFmtId="0" fontId="33" fillId="9" borderId="0" applyNumberFormat="0" applyBorder="0" applyAlignment="0" applyProtection="0"/>
    <xf numFmtId="0" fontId="10" fillId="9" borderId="0" applyNumberFormat="0" applyBorder="0" applyAlignment="0" applyProtection="0">
      <alignment vertical="center"/>
    </xf>
    <xf numFmtId="0" fontId="10" fillId="9" borderId="0" applyNumberFormat="0" applyBorder="0" applyAlignment="0" applyProtection="0">
      <alignment vertical="center"/>
    </xf>
    <xf numFmtId="0" fontId="33" fillId="9" borderId="0" applyNumberFormat="0" applyBorder="0" applyAlignment="0" applyProtection="0"/>
    <xf numFmtId="0" fontId="10" fillId="5" borderId="0" applyNumberFormat="0" applyBorder="0" applyAlignment="0" applyProtection="0">
      <alignment vertical="center"/>
    </xf>
    <xf numFmtId="0" fontId="10" fillId="5" borderId="0" applyNumberFormat="0" applyBorder="0" applyAlignment="0" applyProtection="0">
      <alignment vertical="center"/>
    </xf>
    <xf numFmtId="0" fontId="10" fillId="5" borderId="0" applyNumberFormat="0" applyBorder="0" applyAlignment="0" applyProtection="0">
      <alignment vertical="center"/>
    </xf>
    <xf numFmtId="0" fontId="10" fillId="2" borderId="0" applyNumberFormat="0" applyBorder="0" applyAlignment="0" applyProtection="0">
      <alignment vertical="center"/>
    </xf>
    <xf numFmtId="0" fontId="10" fillId="7" borderId="0" applyNumberFormat="0" applyBorder="0" applyAlignment="0" applyProtection="0">
      <alignment vertical="center"/>
    </xf>
    <xf numFmtId="0" fontId="40" fillId="10" borderId="0" applyNumberFormat="0" applyBorder="0" applyAlignment="0" applyProtection="0"/>
    <xf numFmtId="0" fontId="10" fillId="7" borderId="0" applyNumberFormat="0" applyBorder="0" applyAlignment="0" applyProtection="0">
      <alignment vertical="center"/>
    </xf>
    <xf numFmtId="0" fontId="10" fillId="7" borderId="0" applyNumberFormat="0" applyBorder="0" applyAlignment="0" applyProtection="0">
      <alignment vertical="center"/>
    </xf>
    <xf numFmtId="0" fontId="10" fillId="4" borderId="0" applyNumberFormat="0" applyBorder="0" applyAlignment="0" applyProtection="0">
      <alignment vertical="center"/>
    </xf>
    <xf numFmtId="0" fontId="41" fillId="5" borderId="0" applyNumberFormat="0" applyBorder="0" applyAlignment="0" applyProtection="0">
      <alignment vertical="center"/>
    </xf>
    <xf numFmtId="0" fontId="10" fillId="4" borderId="0" applyNumberFormat="0" applyBorder="0" applyAlignment="0" applyProtection="0">
      <alignment vertical="center"/>
    </xf>
    <xf numFmtId="0" fontId="10" fillId="4" borderId="0" applyNumberFormat="0" applyBorder="0" applyAlignment="0" applyProtection="0">
      <alignment vertical="center"/>
    </xf>
    <xf numFmtId="0" fontId="41" fillId="5" borderId="0" applyNumberFormat="0" applyBorder="0" applyAlignment="0" applyProtection="0">
      <alignment vertical="center"/>
    </xf>
    <xf numFmtId="0" fontId="10" fillId="10" borderId="0" applyNumberFormat="0" applyBorder="0" applyAlignment="0" applyProtection="0">
      <alignment vertical="center"/>
    </xf>
    <xf numFmtId="0" fontId="41" fillId="5" borderId="0" applyNumberFormat="0" applyBorder="0" applyAlignment="0" applyProtection="0">
      <alignment vertical="center"/>
    </xf>
    <xf numFmtId="0" fontId="10" fillId="10" borderId="0" applyNumberFormat="0" applyBorder="0" applyAlignment="0" applyProtection="0">
      <alignment vertical="center"/>
    </xf>
    <xf numFmtId="0" fontId="10" fillId="10" borderId="0" applyNumberFormat="0" applyBorder="0" applyAlignment="0" applyProtection="0">
      <alignment vertical="center"/>
    </xf>
    <xf numFmtId="0" fontId="56" fillId="5" borderId="0" applyNumberFormat="0" applyBorder="0" applyAlignment="0" applyProtection="0">
      <alignment vertical="center"/>
    </xf>
    <xf numFmtId="0" fontId="44" fillId="9" borderId="0" applyNumberFormat="0" applyBorder="0" applyAlignment="0" applyProtection="0">
      <alignment vertical="center"/>
    </xf>
    <xf numFmtId="0" fontId="44" fillId="5" borderId="0" applyNumberFormat="0" applyBorder="0" applyAlignment="0" applyProtection="0">
      <alignment vertical="center"/>
    </xf>
    <xf numFmtId="0" fontId="44" fillId="7" borderId="0" applyNumberFormat="0" applyBorder="0" applyAlignment="0" applyProtection="0">
      <alignment vertical="center"/>
    </xf>
    <xf numFmtId="182" fontId="108" fillId="0" borderId="0" applyFont="0" applyFill="0" applyBorder="0" applyAlignment="0" applyProtection="0"/>
    <xf numFmtId="0" fontId="44" fillId="4" borderId="0" applyNumberFormat="0" applyBorder="0" applyAlignment="0" applyProtection="0">
      <alignment vertical="center"/>
    </xf>
    <xf numFmtId="0" fontId="44" fillId="10" borderId="0" applyNumberFormat="0" applyBorder="0" applyAlignment="0" applyProtection="0">
      <alignment vertical="center"/>
    </xf>
    <xf numFmtId="0" fontId="60" fillId="2" borderId="0" applyNumberFormat="0" applyBorder="0" applyAlignment="0" applyProtection="0"/>
    <xf numFmtId="0" fontId="10" fillId="15" borderId="0" applyNumberFormat="0" applyBorder="0" applyAlignment="0" applyProtection="0">
      <alignment vertical="center"/>
    </xf>
    <xf numFmtId="0" fontId="10" fillId="15" borderId="0" applyNumberFormat="0" applyBorder="0" applyAlignment="0" applyProtection="0">
      <alignment vertical="center"/>
    </xf>
    <xf numFmtId="0" fontId="50" fillId="4" borderId="0" applyNumberFormat="0" applyBorder="0" applyAlignment="0" applyProtection="0">
      <alignment vertical="center"/>
    </xf>
    <xf numFmtId="0" fontId="41" fillId="5" borderId="0" applyNumberFormat="0" applyBorder="0" applyAlignment="0" applyProtection="0">
      <alignment vertical="center"/>
    </xf>
    <xf numFmtId="0" fontId="10" fillId="8" borderId="0" applyNumberFormat="0" applyBorder="0" applyAlignment="0" applyProtection="0">
      <alignment vertical="center"/>
    </xf>
    <xf numFmtId="0" fontId="10" fillId="8" borderId="0" applyNumberFormat="0" applyBorder="0" applyAlignment="0" applyProtection="0">
      <alignment vertical="center"/>
    </xf>
    <xf numFmtId="0" fontId="10" fillId="16" borderId="0" applyNumberFormat="0" applyBorder="0" applyAlignment="0" applyProtection="0">
      <alignment vertical="center"/>
    </xf>
    <xf numFmtId="0" fontId="10" fillId="16" borderId="0" applyNumberFormat="0" applyBorder="0" applyAlignment="0" applyProtection="0">
      <alignment vertical="center"/>
    </xf>
    <xf numFmtId="0" fontId="10" fillId="7" borderId="0" applyNumberFormat="0" applyBorder="0" applyAlignment="0" applyProtection="0">
      <alignment vertical="center"/>
    </xf>
    <xf numFmtId="187" fontId="58" fillId="0" borderId="0"/>
    <xf numFmtId="0" fontId="41" fillId="5" borderId="0" applyNumberFormat="0" applyBorder="0" applyAlignment="0" applyProtection="0">
      <alignment vertical="center"/>
    </xf>
    <xf numFmtId="0" fontId="10" fillId="7" borderId="0" applyNumberFormat="0" applyBorder="0" applyAlignment="0" applyProtection="0">
      <alignment vertical="center"/>
    </xf>
    <xf numFmtId="0" fontId="65" fillId="0" borderId="0" applyNumberFormat="0" applyFill="0" applyBorder="0" applyAlignment="0" applyProtection="0">
      <alignment vertical="center"/>
    </xf>
    <xf numFmtId="0" fontId="10" fillId="15" borderId="0" applyNumberFormat="0" applyBorder="0" applyAlignment="0" applyProtection="0">
      <alignment vertical="center"/>
    </xf>
    <xf numFmtId="0" fontId="10" fillId="15" borderId="0" applyNumberFormat="0" applyBorder="0" applyAlignment="0" applyProtection="0">
      <alignment vertical="center"/>
    </xf>
    <xf numFmtId="0" fontId="26" fillId="0" borderId="0" applyNumberFormat="0" applyFill="0" applyBorder="0" applyAlignment="0" applyProtection="0">
      <alignment vertical="center"/>
    </xf>
    <xf numFmtId="0" fontId="10" fillId="21" borderId="0" applyNumberFormat="0" applyBorder="0" applyAlignment="0" applyProtection="0">
      <alignment vertical="center"/>
    </xf>
    <xf numFmtId="0" fontId="10" fillId="21" borderId="0" applyNumberFormat="0" applyBorder="0" applyAlignment="0" applyProtection="0">
      <alignment vertical="center"/>
    </xf>
    <xf numFmtId="0" fontId="44" fillId="15" borderId="0" applyNumberFormat="0" applyBorder="0" applyAlignment="0" applyProtection="0">
      <alignment vertical="center"/>
    </xf>
    <xf numFmtId="0" fontId="108" fillId="0" borderId="0">
      <protection locked="0"/>
    </xf>
    <xf numFmtId="0" fontId="10" fillId="15" borderId="0" applyNumberFormat="0" applyBorder="0" applyAlignment="0" applyProtection="0">
      <alignment vertical="center"/>
    </xf>
    <xf numFmtId="0" fontId="40" fillId="12" borderId="0" applyNumberFormat="0" applyBorder="0" applyAlignment="0" applyProtection="0"/>
    <xf numFmtId="0" fontId="44" fillId="8" borderId="0" applyNumberFormat="0" applyBorder="0" applyAlignment="0" applyProtection="0">
      <alignment vertical="center"/>
    </xf>
    <xf numFmtId="0" fontId="10" fillId="8" borderId="0" applyNumberFormat="0" applyBorder="0" applyAlignment="0" applyProtection="0">
      <alignment vertical="center"/>
    </xf>
    <xf numFmtId="0" fontId="41" fillId="5" borderId="0" applyNumberFormat="0" applyBorder="0" applyAlignment="0" applyProtection="0">
      <alignment vertical="center"/>
    </xf>
    <xf numFmtId="0" fontId="44" fillId="16" borderId="0" applyNumberFormat="0" applyBorder="0" applyAlignment="0" applyProtection="0">
      <alignment vertical="center"/>
    </xf>
    <xf numFmtId="0" fontId="10" fillId="16"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10" fillId="7" borderId="0" applyNumberFormat="0" applyBorder="0" applyAlignment="0" applyProtection="0">
      <alignment vertical="center"/>
    </xf>
    <xf numFmtId="0" fontId="33" fillId="14" borderId="0" applyNumberFormat="0" applyBorder="0" applyAlignment="0" applyProtection="0"/>
    <xf numFmtId="0" fontId="64" fillId="2" borderId="0" applyNumberFormat="0" applyBorder="0" applyAlignment="0" applyProtection="0">
      <alignment vertical="center"/>
    </xf>
    <xf numFmtId="0" fontId="41" fillId="5" borderId="0" applyNumberFormat="0" applyBorder="0" applyAlignment="0" applyProtection="0">
      <alignment vertical="center"/>
    </xf>
    <xf numFmtId="0" fontId="44" fillId="15" borderId="0" applyNumberFormat="0" applyBorder="0" applyAlignment="0" applyProtection="0">
      <alignment vertical="center"/>
    </xf>
    <xf numFmtId="0" fontId="10" fillId="15" borderId="0" applyNumberFormat="0" applyBorder="0" applyAlignment="0" applyProtection="0">
      <alignment vertical="center"/>
    </xf>
    <xf numFmtId="0" fontId="59" fillId="5" borderId="0" applyNumberFormat="0" applyBorder="0" applyAlignment="0" applyProtection="0">
      <alignment vertical="center"/>
    </xf>
    <xf numFmtId="0" fontId="64" fillId="2" borderId="0" applyNumberFormat="0" applyBorder="0" applyAlignment="0" applyProtection="0">
      <alignment vertical="center"/>
    </xf>
    <xf numFmtId="0" fontId="44" fillId="21" borderId="0" applyNumberFormat="0" applyBorder="0" applyAlignment="0" applyProtection="0">
      <alignment vertical="center"/>
    </xf>
    <xf numFmtId="0" fontId="53" fillId="7" borderId="0" applyNumberFormat="0" applyBorder="0" applyAlignment="0" applyProtection="0">
      <alignment vertical="center"/>
    </xf>
    <xf numFmtId="0" fontId="10" fillId="21" borderId="0" applyNumberFormat="0" applyBorder="0" applyAlignment="0" applyProtection="0">
      <alignment vertical="center"/>
    </xf>
    <xf numFmtId="0" fontId="41" fillId="5" borderId="0" applyNumberFormat="0" applyBorder="0" applyAlignment="0" applyProtection="0">
      <alignment vertical="center"/>
    </xf>
    <xf numFmtId="0" fontId="43" fillId="17" borderId="0" applyNumberFormat="0" applyBorder="0" applyAlignment="0" applyProtection="0">
      <alignment vertical="center"/>
    </xf>
    <xf numFmtId="0" fontId="41" fillId="5" borderId="0" applyNumberFormat="0" applyBorder="0" applyAlignment="0" applyProtection="0">
      <alignment vertical="center"/>
    </xf>
    <xf numFmtId="0" fontId="43" fillId="17"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3" fillId="8" borderId="0" applyNumberFormat="0" applyBorder="0" applyAlignment="0" applyProtection="0">
      <alignment vertical="center"/>
    </xf>
    <xf numFmtId="0" fontId="62" fillId="0" borderId="0" applyNumberFormat="0" applyFill="0" applyBorder="0" applyAlignment="0" applyProtection="0">
      <alignment vertical="center"/>
    </xf>
    <xf numFmtId="0" fontId="61" fillId="0" borderId="12" applyNumberFormat="0" applyFill="0" applyProtection="0">
      <alignment horizontal="center"/>
    </xf>
    <xf numFmtId="0" fontId="41" fillId="5" borderId="0" applyNumberFormat="0" applyBorder="0" applyAlignment="0" applyProtection="0">
      <alignment vertical="center"/>
    </xf>
    <xf numFmtId="0" fontId="43" fillId="8" borderId="0" applyNumberFormat="0" applyBorder="0" applyAlignment="0" applyProtection="0">
      <alignment vertical="center"/>
    </xf>
    <xf numFmtId="0" fontId="40" fillId="12" borderId="0" applyNumberFormat="0" applyBorder="0" applyAlignment="0" applyProtection="0"/>
    <xf numFmtId="0" fontId="41" fillId="5" borderId="0" applyNumberFormat="0" applyBorder="0" applyAlignment="0" applyProtection="0">
      <alignment vertical="center"/>
    </xf>
    <xf numFmtId="0" fontId="43" fillId="16"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3" fillId="16" borderId="0" applyNumberFormat="0" applyBorder="0" applyAlignment="0" applyProtection="0">
      <alignment vertical="center"/>
    </xf>
    <xf numFmtId="0" fontId="41" fillId="5" borderId="0" applyNumberFormat="0" applyBorder="0" applyAlignment="0" applyProtection="0">
      <alignment vertical="center"/>
    </xf>
    <xf numFmtId="0" fontId="43" fillId="19" borderId="0" applyNumberFormat="0" applyBorder="0" applyAlignment="0" applyProtection="0">
      <alignment vertical="center"/>
    </xf>
    <xf numFmtId="14" fontId="52" fillId="0" borderId="0">
      <alignment horizontal="center" wrapText="1"/>
      <protection locked="0"/>
    </xf>
    <xf numFmtId="3" fontId="108" fillId="0" borderId="0" applyFont="0" applyFill="0" applyBorder="0" applyAlignment="0" applyProtection="0"/>
    <xf numFmtId="0" fontId="43" fillId="19" borderId="0" applyNumberFormat="0" applyBorder="0" applyAlignment="0" applyProtection="0">
      <alignment vertical="center"/>
    </xf>
    <xf numFmtId="0" fontId="63" fillId="19" borderId="0" applyNumberFormat="0" applyBorder="0" applyAlignment="0" applyProtection="0">
      <alignment vertical="center"/>
    </xf>
    <xf numFmtId="0" fontId="43" fillId="3" borderId="0" applyNumberFormat="0" applyBorder="0" applyAlignment="0" applyProtection="0">
      <alignment vertical="center"/>
    </xf>
    <xf numFmtId="0" fontId="43" fillId="3" borderId="0" applyNumberFormat="0" applyBorder="0" applyAlignment="0" applyProtection="0">
      <alignment vertical="center"/>
    </xf>
    <xf numFmtId="0" fontId="41" fillId="5" borderId="0" applyNumberFormat="0" applyBorder="0" applyAlignment="0" applyProtection="0">
      <alignment vertical="center"/>
    </xf>
    <xf numFmtId="0" fontId="43" fillId="19" borderId="0" applyNumberFormat="0" applyBorder="0" applyAlignment="0" applyProtection="0">
      <alignment vertical="center"/>
    </xf>
    <xf numFmtId="0" fontId="43" fillId="6" borderId="0" applyNumberFormat="0" applyBorder="0" applyAlignment="0" applyProtection="0">
      <alignment vertical="center"/>
    </xf>
    <xf numFmtId="0" fontId="64" fillId="2" borderId="0" applyNumberFormat="0" applyBorder="0" applyAlignment="0" applyProtection="0">
      <alignment vertical="center"/>
    </xf>
    <xf numFmtId="0" fontId="67" fillId="22" borderId="9">
      <protection locked="0"/>
    </xf>
    <xf numFmtId="0" fontId="43" fillId="6" borderId="0" applyNumberFormat="0" applyBorder="0" applyAlignment="0" applyProtection="0">
      <alignment vertical="center"/>
    </xf>
    <xf numFmtId="0" fontId="108" fillId="0" borderId="0"/>
    <xf numFmtId="0" fontId="41" fillId="5" borderId="0" applyNumberFormat="0" applyBorder="0" applyAlignment="0" applyProtection="0">
      <alignment vertical="center"/>
    </xf>
    <xf numFmtId="0" fontId="63" fillId="17" borderId="0" applyNumberFormat="0" applyBorder="0" applyAlignment="0" applyProtection="0">
      <alignment vertical="center"/>
    </xf>
    <xf numFmtId="0" fontId="41" fillId="5" borderId="0" applyNumberFormat="0" applyBorder="0" applyAlignment="0" applyProtection="0">
      <alignment vertical="center"/>
    </xf>
    <xf numFmtId="0" fontId="54" fillId="0" borderId="0" applyNumberFormat="0" applyFill="0" applyBorder="0" applyAlignment="0" applyProtection="0">
      <alignment vertical="center"/>
    </xf>
    <xf numFmtId="0" fontId="43" fillId="17" borderId="0" applyNumberFormat="0" applyBorder="0" applyAlignment="0" applyProtection="0">
      <alignment vertical="center"/>
    </xf>
    <xf numFmtId="0" fontId="30" fillId="0" borderId="0"/>
    <xf numFmtId="0" fontId="63" fillId="8" borderId="0" applyNumberFormat="0" applyBorder="0" applyAlignment="0" applyProtection="0">
      <alignment vertical="center"/>
    </xf>
    <xf numFmtId="0" fontId="63" fillId="16" borderId="0" applyNumberFormat="0" applyBorder="0" applyAlignment="0" applyProtection="0">
      <alignment vertical="center"/>
    </xf>
    <xf numFmtId="0" fontId="41" fillId="5" borderId="0" applyNumberFormat="0" applyBorder="0" applyAlignment="0" applyProtection="0">
      <alignment vertical="center"/>
    </xf>
    <xf numFmtId="0" fontId="33" fillId="9" borderId="0" applyNumberFormat="0" applyBorder="0" applyAlignment="0" applyProtection="0"/>
    <xf numFmtId="0" fontId="43" fillId="16" borderId="0" applyNumberFormat="0" applyBorder="0" applyAlignment="0" applyProtection="0">
      <alignment vertical="center"/>
    </xf>
    <xf numFmtId="0" fontId="41" fillId="5" borderId="0" applyNumberFormat="0" applyBorder="0" applyAlignment="0" applyProtection="0">
      <alignment vertical="center"/>
    </xf>
    <xf numFmtId="0" fontId="63" fillId="19" borderId="0" applyNumberFormat="0" applyBorder="0" applyAlignment="0" applyProtection="0">
      <alignment vertical="center"/>
    </xf>
    <xf numFmtId="0" fontId="40" fillId="6" borderId="0" applyNumberFormat="0" applyBorder="0" applyAlignment="0" applyProtection="0"/>
    <xf numFmtId="0" fontId="66" fillId="20" borderId="0" applyNumberFormat="0" applyBorder="0" applyAlignment="0" applyProtection="0">
      <alignment vertical="center"/>
    </xf>
    <xf numFmtId="0" fontId="43" fillId="19" borderId="0" applyNumberFormat="0" applyBorder="0" applyAlignment="0" applyProtection="0">
      <alignment vertical="center"/>
    </xf>
    <xf numFmtId="0" fontId="63" fillId="3" borderId="0" applyNumberFormat="0" applyBorder="0" applyAlignment="0" applyProtection="0">
      <alignment vertical="center"/>
    </xf>
    <xf numFmtId="0" fontId="15" fillId="0" borderId="0"/>
    <xf numFmtId="0" fontId="53" fillId="7" borderId="0" applyNumberFormat="0" applyBorder="0" applyAlignment="0" applyProtection="0">
      <alignment vertical="center"/>
    </xf>
    <xf numFmtId="0" fontId="43" fillId="3" borderId="0" applyNumberFormat="0" applyBorder="0" applyAlignment="0" applyProtection="0">
      <alignment vertical="center"/>
    </xf>
    <xf numFmtId="0" fontId="59" fillId="5" borderId="0" applyNumberFormat="0" applyBorder="0" applyAlignment="0" applyProtection="0">
      <alignment vertical="center"/>
    </xf>
    <xf numFmtId="0" fontId="63" fillId="6" borderId="0" applyNumberFormat="0" applyBorder="0" applyAlignment="0" applyProtection="0">
      <alignment vertical="center"/>
    </xf>
    <xf numFmtId="0" fontId="43" fillId="6" borderId="0" applyNumberFormat="0" applyBorder="0" applyAlignment="0" applyProtection="0">
      <alignment vertical="center"/>
    </xf>
    <xf numFmtId="0" fontId="45" fillId="0" borderId="0">
      <protection locked="0"/>
    </xf>
    <xf numFmtId="0" fontId="33" fillId="9" borderId="0" applyNumberFormat="0" applyBorder="0" applyAlignment="0" applyProtection="0"/>
    <xf numFmtId="0" fontId="53" fillId="7" borderId="0" applyNumberFormat="0" applyBorder="0" applyAlignment="0" applyProtection="0">
      <alignment vertical="center"/>
    </xf>
    <xf numFmtId="0" fontId="33" fillId="9" borderId="0" applyNumberFormat="0" applyBorder="0" applyAlignment="0" applyProtection="0"/>
    <xf numFmtId="0" fontId="53" fillId="7" borderId="0" applyNumberFormat="0" applyBorder="0" applyAlignment="0" applyProtection="0">
      <alignment vertical="center"/>
    </xf>
    <xf numFmtId="0" fontId="40" fillId="15" borderId="0" applyNumberFormat="0" applyBorder="0" applyAlignment="0" applyProtection="0"/>
    <xf numFmtId="0" fontId="40" fillId="15" borderId="0" applyNumberFormat="0" applyBorder="0" applyAlignment="0" applyProtection="0"/>
    <xf numFmtId="0" fontId="40" fillId="12" borderId="0" applyNumberFormat="0" applyBorder="0" applyAlignment="0" applyProtection="0"/>
    <xf numFmtId="0" fontId="40" fillId="18" borderId="0" applyNumberFormat="0" applyBorder="0" applyAlignment="0" applyProtection="0"/>
    <xf numFmtId="0" fontId="33" fillId="14" borderId="0" applyNumberFormat="0" applyBorder="0" applyAlignment="0" applyProtection="0"/>
    <xf numFmtId="0" fontId="40" fillId="13" borderId="0" applyNumberFormat="0" applyBorder="0" applyAlignment="0" applyProtection="0"/>
    <xf numFmtId="0" fontId="40" fillId="18" borderId="0" applyNumberFormat="0" applyBorder="0" applyAlignment="0" applyProtection="0"/>
    <xf numFmtId="0" fontId="40" fillId="18" borderId="0" applyNumberFormat="0" applyBorder="0" applyAlignment="0" applyProtection="0"/>
    <xf numFmtId="0" fontId="41" fillId="5" borderId="0" applyNumberFormat="0" applyBorder="0" applyAlignment="0" applyProtection="0">
      <alignment vertical="center"/>
    </xf>
    <xf numFmtId="0" fontId="50" fillId="2" borderId="0" applyNumberFormat="0" applyBorder="0" applyAlignment="0" applyProtection="0">
      <alignment vertical="center"/>
    </xf>
    <xf numFmtId="0" fontId="40" fillId="13" borderId="0" applyNumberFormat="0" applyBorder="0" applyAlignment="0" applyProtection="0"/>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33" fillId="14" borderId="0" applyNumberFormat="0" applyBorder="0" applyAlignment="0" applyProtection="0"/>
    <xf numFmtId="0" fontId="40" fillId="3" borderId="0" applyNumberFormat="0" applyBorder="0" applyAlignment="0" applyProtection="0"/>
    <xf numFmtId="0" fontId="108" fillId="0" borderId="0" applyFont="0" applyFill="0" applyBorder="0" applyAlignment="0" applyProtection="0"/>
    <xf numFmtId="0" fontId="33" fillId="14" borderId="0" applyNumberFormat="0" applyBorder="0" applyAlignment="0" applyProtection="0"/>
    <xf numFmtId="0" fontId="42" fillId="0" borderId="13" applyNumberFormat="0" applyFill="0" applyAlignment="0" applyProtection="0">
      <alignment vertical="center"/>
    </xf>
    <xf numFmtId="0" fontId="33" fillId="2" borderId="0" applyNumberFormat="0" applyBorder="0" applyAlignment="0" applyProtection="0"/>
    <xf numFmtId="0" fontId="41" fillId="5" borderId="0" applyNumberFormat="0" applyBorder="0" applyAlignment="0" applyProtection="0">
      <alignment vertical="center"/>
    </xf>
    <xf numFmtId="186" fontId="108" fillId="0" borderId="0" applyFont="0" applyFill="0" applyBorder="0" applyAlignment="0" applyProtection="0"/>
    <xf numFmtId="0" fontId="41" fillId="5" borderId="0" applyNumberFormat="0" applyBorder="0" applyAlignment="0" applyProtection="0">
      <alignment vertical="center"/>
    </xf>
    <xf numFmtId="0" fontId="33" fillId="2" borderId="0" applyNumberFormat="0" applyBorder="0" applyAlignment="0" applyProtection="0"/>
    <xf numFmtId="0" fontId="50" fillId="2" borderId="0" applyNumberFormat="0" applyBorder="0" applyAlignment="0" applyProtection="0">
      <alignment vertical="center"/>
    </xf>
    <xf numFmtId="0" fontId="40" fillId="11" borderId="0" applyNumberFormat="0" applyBorder="0" applyAlignment="0" applyProtection="0"/>
    <xf numFmtId="0" fontId="50" fillId="2" borderId="0" applyNumberFormat="0" applyBorder="0" applyAlignment="0" applyProtection="0">
      <alignment vertical="center"/>
    </xf>
    <xf numFmtId="0" fontId="40" fillId="11" borderId="0" applyNumberFormat="0" applyBorder="0" applyAlignment="0" applyProtection="0"/>
    <xf numFmtId="0" fontId="40" fillId="13" borderId="0" applyNumberFormat="0" applyBorder="0" applyAlignment="0" applyProtection="0"/>
    <xf numFmtId="0" fontId="41" fillId="5" borderId="0" applyNumberFormat="0" applyBorder="0" applyAlignment="0" applyProtection="0">
      <alignment vertical="center"/>
    </xf>
    <xf numFmtId="0" fontId="40" fillId="13" borderId="0" applyNumberFormat="0" applyBorder="0" applyAlignment="0" applyProtection="0"/>
    <xf numFmtId="0" fontId="40" fillId="12" borderId="0" applyNumberFormat="0" applyBorder="0" applyAlignment="0" applyProtection="0"/>
    <xf numFmtId="0" fontId="41" fillId="5" borderId="0" applyNumberFormat="0" applyBorder="0" applyAlignment="0" applyProtection="0">
      <alignment vertical="center"/>
    </xf>
    <xf numFmtId="0" fontId="33" fillId="9" borderId="0" applyNumberFormat="0" applyBorder="0" applyAlignment="0" applyProtection="0"/>
    <xf numFmtId="0" fontId="41" fillId="5" borderId="0" applyNumberFormat="0" applyBorder="0" applyAlignment="0" applyProtection="0">
      <alignment vertical="center"/>
    </xf>
    <xf numFmtId="0" fontId="33" fillId="9" borderId="0" applyNumberFormat="0" applyBorder="0" applyAlignment="0" applyProtection="0"/>
    <xf numFmtId="0" fontId="41" fillId="5" borderId="0" applyNumberFormat="0" applyBorder="0" applyAlignment="0" applyProtection="0">
      <alignment vertical="center"/>
    </xf>
    <xf numFmtId="0" fontId="33" fillId="11" borderId="0" applyNumberFormat="0" applyBorder="0" applyAlignment="0" applyProtection="0"/>
    <xf numFmtId="0" fontId="33" fillId="11" borderId="0" applyNumberFormat="0" applyBorder="0" applyAlignment="0" applyProtection="0"/>
    <xf numFmtId="0" fontId="41" fillId="5" borderId="0" applyNumberFormat="0" applyBorder="0" applyAlignment="0" applyProtection="0">
      <alignment vertical="center"/>
    </xf>
    <xf numFmtId="0" fontId="33" fillId="10" borderId="0" applyNumberFormat="0" applyBorder="0" applyAlignment="0" applyProtection="0"/>
    <xf numFmtId="0" fontId="41" fillId="5" borderId="0" applyNumberFormat="0" applyBorder="0" applyAlignment="0" applyProtection="0">
      <alignment vertical="center"/>
    </xf>
    <xf numFmtId="0" fontId="40" fillId="11" borderId="0" applyNumberFormat="0" applyBorder="0" applyAlignment="0" applyProtection="0"/>
    <xf numFmtId="190" fontId="108" fillId="0" borderId="0" applyFont="0" applyFill="0" applyBorder="0" applyAlignment="0" applyProtection="0"/>
    <xf numFmtId="0" fontId="40" fillId="11" borderId="0" applyNumberFormat="0" applyBorder="0" applyAlignment="0" applyProtection="0"/>
    <xf numFmtId="0" fontId="40" fillId="12" borderId="0" applyNumberFormat="0" applyBorder="0" applyAlignment="0" applyProtection="0"/>
    <xf numFmtId="0" fontId="40" fillId="6" borderId="0" applyNumberFormat="0" applyBorder="0" applyAlignment="0" applyProtection="0"/>
    <xf numFmtId="0" fontId="41" fillId="5" borderId="0" applyNumberFormat="0" applyBorder="0" applyAlignment="0" applyProtection="0">
      <alignment vertical="center"/>
    </xf>
    <xf numFmtId="0" fontId="40" fillId="3" borderId="0" applyNumberFormat="0" applyBorder="0" applyAlignment="0" applyProtection="0"/>
    <xf numFmtId="0" fontId="41" fillId="5" borderId="0" applyNumberFormat="0" applyBorder="0" applyAlignment="0" applyProtection="0">
      <alignment vertical="center"/>
    </xf>
    <xf numFmtId="0" fontId="33" fillId="4" borderId="0" applyNumberFormat="0" applyBorder="0" applyAlignment="0" applyProtection="0"/>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33" fillId="9" borderId="0" applyNumberFormat="0" applyBorder="0" applyAlignment="0" applyProtection="0"/>
    <xf numFmtId="0" fontId="41" fillId="5" borderId="0" applyNumberFormat="0" applyBorder="0" applyAlignment="0" applyProtection="0">
      <alignment vertical="center"/>
    </xf>
    <xf numFmtId="0" fontId="40" fillId="15" borderId="0" applyNumberFormat="0" applyBorder="0" applyAlignment="0" applyProtection="0"/>
    <xf numFmtId="0" fontId="50" fillId="2" borderId="0" applyNumberFormat="0" applyBorder="0" applyAlignment="0" applyProtection="0">
      <alignment vertical="center"/>
    </xf>
    <xf numFmtId="0" fontId="40" fillId="15" borderId="0" applyNumberFormat="0" applyBorder="0" applyAlignment="0" applyProtection="0"/>
    <xf numFmtId="0" fontId="33" fillId="14" borderId="0" applyNumberFormat="0" applyBorder="0" applyAlignment="0" applyProtection="0"/>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33" fillId="10" borderId="0" applyNumberFormat="0" applyBorder="0" applyAlignment="0" applyProtection="0"/>
    <xf numFmtId="0" fontId="41" fillId="5" borderId="0" applyNumberFormat="0" applyBorder="0" applyAlignment="0" applyProtection="0">
      <alignment vertical="center"/>
    </xf>
    <xf numFmtId="0" fontId="40" fillId="10" borderId="0" applyNumberFormat="0" applyBorder="0" applyAlignment="0" applyProtection="0"/>
    <xf numFmtId="0" fontId="41" fillId="5" borderId="0" applyNumberFormat="0" applyBorder="0" applyAlignment="0" applyProtection="0">
      <alignment vertical="center"/>
    </xf>
    <xf numFmtId="193" fontId="57" fillId="0" borderId="0" applyFill="0" applyBorder="0" applyAlignment="0"/>
    <xf numFmtId="0" fontId="70" fillId="11" borderId="15" applyNumberFormat="0" applyAlignment="0" applyProtection="0">
      <alignment vertical="center"/>
    </xf>
    <xf numFmtId="0" fontId="72" fillId="5" borderId="0" applyNumberFormat="0" applyBorder="0" applyAlignment="0" applyProtection="0"/>
    <xf numFmtId="0" fontId="74" fillId="0" borderId="18">
      <alignment horizontal="center"/>
    </xf>
    <xf numFmtId="0" fontId="41" fillId="5" borderId="0" applyNumberFormat="0" applyBorder="0" applyAlignment="0" applyProtection="0">
      <alignment vertical="center"/>
    </xf>
    <xf numFmtId="0" fontId="70" fillId="11" borderId="15" applyNumberFormat="0" applyAlignment="0" applyProtection="0">
      <alignment vertical="center"/>
    </xf>
    <xf numFmtId="37" fontId="79" fillId="0" borderId="0"/>
    <xf numFmtId="0" fontId="72" fillId="5" borderId="0" applyNumberFormat="0" applyBorder="0" applyAlignment="0" applyProtection="0"/>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82" fillId="13" borderId="22" applyNumberFormat="0" applyAlignment="0" applyProtection="0">
      <alignment vertical="center"/>
    </xf>
    <xf numFmtId="0" fontId="82" fillId="13" borderId="22" applyNumberFormat="0" applyAlignment="0" applyProtection="0">
      <alignment vertical="center"/>
    </xf>
    <xf numFmtId="41" fontId="108" fillId="0" borderId="0" applyFont="0" applyFill="0" applyBorder="0" applyAlignment="0" applyProtection="0"/>
    <xf numFmtId="0" fontId="108" fillId="0" borderId="0" applyFont="0" applyFill="0" applyBorder="0" applyAlignment="0" applyProtection="0"/>
    <xf numFmtId="201" fontId="18" fillId="0" borderId="0"/>
    <xf numFmtId="189" fontId="108" fillId="0" borderId="0" applyFont="0" applyFill="0" applyBorder="0" applyAlignment="0" applyProtection="0"/>
    <xf numFmtId="204" fontId="108" fillId="0" borderId="0" applyFont="0" applyFill="0" applyBorder="0" applyAlignment="0" applyProtection="0"/>
    <xf numFmtId="0" fontId="51" fillId="5" borderId="0" applyNumberFormat="0" applyBorder="0" applyAlignment="0" applyProtection="0">
      <alignment vertical="center"/>
    </xf>
    <xf numFmtId="0" fontId="41" fillId="5" borderId="0" applyNumberFormat="0" applyBorder="0" applyAlignment="0" applyProtection="0">
      <alignment vertical="center"/>
    </xf>
    <xf numFmtId="196" fontId="18" fillId="0" borderId="0"/>
    <xf numFmtId="15" fontId="68" fillId="0" borderId="0"/>
    <xf numFmtId="0" fontId="51" fillId="5" borderId="0" applyNumberFormat="0" applyBorder="0" applyAlignment="0" applyProtection="0">
      <alignment vertical="center"/>
    </xf>
    <xf numFmtId="0" fontId="41" fillId="5" borderId="0" applyNumberFormat="0" applyBorder="0" applyAlignment="0" applyProtection="0">
      <alignment vertical="center"/>
    </xf>
    <xf numFmtId="185" fontId="18" fillId="0" borderId="0"/>
    <xf numFmtId="0" fontId="73" fillId="0" borderId="0" applyNumberFormat="0" applyFill="0" applyBorder="0" applyAlignment="0" applyProtection="0">
      <alignment vertical="center"/>
    </xf>
    <xf numFmtId="0" fontId="41" fillId="7" borderId="0" applyNumberFormat="0" applyBorder="0" applyAlignment="0" applyProtection="0">
      <alignment vertical="center"/>
    </xf>
    <xf numFmtId="0" fontId="73" fillId="0" borderId="0" applyNumberFormat="0" applyFill="0" applyBorder="0" applyAlignment="0" applyProtection="0">
      <alignment vertical="center"/>
    </xf>
    <xf numFmtId="0" fontId="41" fillId="7" borderId="0" applyNumberFormat="0" applyBorder="0" applyAlignment="0" applyProtection="0">
      <alignment vertical="center"/>
    </xf>
    <xf numFmtId="0" fontId="58" fillId="0" borderId="0"/>
    <xf numFmtId="0" fontId="30" fillId="0" borderId="0"/>
    <xf numFmtId="2" fontId="80" fillId="0" borderId="0" applyProtection="0"/>
    <xf numFmtId="0" fontId="50" fillId="2" borderId="0" applyNumberFormat="0" applyBorder="0" applyAlignment="0" applyProtection="0">
      <alignment vertical="center"/>
    </xf>
    <xf numFmtId="0" fontId="15" fillId="0" borderId="0">
      <protection locked="0"/>
    </xf>
    <xf numFmtId="0" fontId="108" fillId="0" borderId="0">
      <protection locked="0"/>
    </xf>
    <xf numFmtId="0" fontId="50" fillId="2" borderId="0" applyNumberFormat="0" applyBorder="0" applyAlignment="0" applyProtection="0">
      <alignment vertical="center"/>
    </xf>
    <xf numFmtId="0" fontId="60" fillId="4" borderId="0" applyNumberFormat="0" applyBorder="0" applyAlignment="0" applyProtection="0">
      <alignment vertical="center"/>
    </xf>
    <xf numFmtId="0" fontId="108" fillId="0" borderId="0">
      <protection locked="0"/>
    </xf>
    <xf numFmtId="0" fontId="50" fillId="2" borderId="0" applyNumberFormat="0" applyBorder="0" applyAlignment="0" applyProtection="0">
      <alignment vertical="center"/>
    </xf>
    <xf numFmtId="0" fontId="81" fillId="11" borderId="0" applyNumberFormat="0" applyBorder="0" applyAlignment="0" applyProtection="0"/>
    <xf numFmtId="0" fontId="41" fillId="5" borderId="0" applyNumberFormat="0" applyBorder="0" applyAlignment="0" applyProtection="0">
      <alignment vertical="center"/>
    </xf>
    <xf numFmtId="0" fontId="84" fillId="0" borderId="16" applyNumberFormat="0" applyFill="0" applyAlignment="0" applyProtection="0">
      <alignment vertical="center"/>
    </xf>
    <xf numFmtId="0" fontId="71" fillId="0" borderId="23" applyNumberFormat="0" applyAlignment="0" applyProtection="0">
      <alignment horizontal="left" vertical="center"/>
    </xf>
    <xf numFmtId="0" fontId="71" fillId="0" borderId="3">
      <alignment horizontal="left" vertical="center"/>
    </xf>
    <xf numFmtId="0" fontId="50" fillId="2" borderId="0" applyNumberFormat="0" applyBorder="0" applyAlignment="0" applyProtection="0">
      <alignment vertical="center"/>
    </xf>
    <xf numFmtId="0" fontId="41" fillId="5" borderId="0" applyNumberFormat="0" applyBorder="0" applyAlignment="0" applyProtection="0">
      <alignment vertical="center"/>
    </xf>
    <xf numFmtId="0" fontId="42" fillId="0" borderId="13" applyNumberFormat="0" applyFill="0" applyAlignment="0" applyProtection="0">
      <alignment vertical="center"/>
    </xf>
    <xf numFmtId="0" fontId="48" fillId="0" borderId="16" applyNumberFormat="0" applyFill="0" applyAlignment="0" applyProtection="0">
      <alignment vertical="center"/>
    </xf>
    <xf numFmtId="0" fontId="41" fillId="5" borderId="0" applyNumberFormat="0" applyBorder="0" applyAlignment="0" applyProtection="0">
      <alignment vertical="center"/>
    </xf>
    <xf numFmtId="0" fontId="54" fillId="0" borderId="0" applyNumberFormat="0" applyFill="0" applyBorder="0" applyAlignment="0" applyProtection="0">
      <alignment vertical="center"/>
    </xf>
    <xf numFmtId="0" fontId="76" fillId="0" borderId="0" applyProtection="0"/>
    <xf numFmtId="0" fontId="41" fillId="5" borderId="0" applyNumberFormat="0" applyBorder="0" applyAlignment="0" applyProtection="0">
      <alignment vertical="center"/>
    </xf>
    <xf numFmtId="0" fontId="50" fillId="2" borderId="0" applyNumberFormat="0" applyBorder="0" applyAlignment="0" applyProtection="0">
      <alignment vertical="center"/>
    </xf>
    <xf numFmtId="0" fontId="71" fillId="0" borderId="0" applyProtection="0"/>
    <xf numFmtId="0" fontId="50" fillId="2" borderId="0" applyNumberFormat="0" applyBorder="0" applyAlignment="0" applyProtection="0">
      <alignment vertical="center"/>
    </xf>
    <xf numFmtId="0" fontId="51" fillId="5" borderId="0" applyNumberFormat="0" applyBorder="0" applyAlignment="0" applyProtection="0">
      <alignment vertical="center"/>
    </xf>
    <xf numFmtId="0" fontId="81" fillId="14" borderId="1" applyNumberFormat="0" applyBorder="0" applyAlignment="0" applyProtection="0"/>
    <xf numFmtId="184" fontId="77" fillId="23" borderId="0"/>
    <xf numFmtId="0" fontId="78" fillId="11" borderId="19" applyNumberFormat="0" applyAlignment="0" applyProtection="0">
      <alignment vertical="center"/>
    </xf>
    <xf numFmtId="0" fontId="46" fillId="0" borderId="14" applyNumberFormat="0" applyFill="0" applyAlignment="0" applyProtection="0">
      <alignment vertical="center"/>
    </xf>
    <xf numFmtId="0" fontId="41" fillId="5" borderId="0" applyNumberFormat="0" applyBorder="0" applyAlignment="0" applyProtection="0">
      <alignment vertical="center"/>
    </xf>
    <xf numFmtId="184" fontId="83" fillId="24" borderId="0"/>
    <xf numFmtId="38" fontId="108" fillId="0" borderId="0" applyFont="0" applyFill="0" applyBorder="0" applyAlignment="0" applyProtection="0"/>
    <xf numFmtId="0" fontId="41" fillId="5" borderId="0" applyNumberFormat="0" applyBorder="0" applyAlignment="0" applyProtection="0">
      <alignment vertical="center"/>
    </xf>
    <xf numFmtId="0" fontId="108" fillId="0" borderId="0">
      <alignment vertical="center"/>
    </xf>
    <xf numFmtId="40" fontId="108" fillId="0" borderId="0" applyFont="0" applyFill="0" applyBorder="0" applyAlignment="0" applyProtection="0"/>
    <xf numFmtId="182" fontId="108" fillId="0" borderId="0" applyFont="0" applyFill="0" applyBorder="0" applyAlignment="0" applyProtection="0"/>
    <xf numFmtId="208" fontId="108" fillId="0" borderId="0" applyFont="0" applyFill="0" applyBorder="0" applyAlignment="0" applyProtection="0"/>
    <xf numFmtId="0" fontId="41" fillId="5" borderId="0" applyNumberFormat="0" applyBorder="0" applyAlignment="0" applyProtection="0">
      <alignment vertical="center"/>
    </xf>
    <xf numFmtId="178" fontId="108" fillId="0" borderId="0" applyFont="0" applyFill="0" applyBorder="0" applyAlignment="0" applyProtection="0"/>
    <xf numFmtId="0" fontId="41" fillId="5" borderId="0" applyNumberFormat="0" applyBorder="0" applyAlignment="0" applyProtection="0">
      <alignment vertical="center"/>
    </xf>
    <xf numFmtId="0" fontId="66" fillId="20" borderId="0" applyNumberFormat="0" applyBorder="0" applyAlignment="0" applyProtection="0">
      <alignment vertical="center"/>
    </xf>
    <xf numFmtId="0" fontId="18" fillId="0" borderId="0"/>
    <xf numFmtId="0" fontId="41" fillId="5" borderId="0" applyNumberFormat="0" applyBorder="0" applyAlignment="0" applyProtection="0">
      <alignment vertical="center"/>
    </xf>
    <xf numFmtId="0" fontId="77" fillId="0" borderId="0"/>
    <xf numFmtId="0" fontId="41" fillId="5" borderId="0" applyNumberFormat="0" applyBorder="0" applyAlignment="0" applyProtection="0">
      <alignment vertical="center"/>
    </xf>
    <xf numFmtId="0" fontId="64" fillId="2" borderId="0" applyNumberFormat="0" applyBorder="0" applyAlignment="0" applyProtection="0">
      <alignment vertical="center"/>
    </xf>
    <xf numFmtId="0" fontId="45" fillId="0" borderId="0"/>
    <xf numFmtId="0" fontId="108" fillId="14" borderId="20" applyNumberFormat="0" applyFont="0" applyAlignment="0" applyProtection="0">
      <alignment vertical="center"/>
    </xf>
    <xf numFmtId="0" fontId="41" fillId="5" borderId="0" applyNumberFormat="0" applyBorder="0" applyAlignment="0" applyProtection="0">
      <alignment vertical="center"/>
    </xf>
    <xf numFmtId="0" fontId="64" fillId="2" borderId="0" applyNumberFormat="0" applyBorder="0" applyAlignment="0" applyProtection="0">
      <alignment vertical="center"/>
    </xf>
    <xf numFmtId="0" fontId="62" fillId="0" borderId="0" applyNumberFormat="0" applyFill="0" applyBorder="0" applyAlignment="0" applyProtection="0">
      <alignment vertical="center"/>
    </xf>
    <xf numFmtId="0" fontId="108" fillId="14" borderId="20" applyNumberFormat="0" applyFont="0" applyAlignment="0" applyProtection="0">
      <alignment vertical="center"/>
    </xf>
    <xf numFmtId="13" fontId="108" fillId="0" borderId="0" applyFont="0" applyFill="0" applyProtection="0"/>
    <xf numFmtId="0" fontId="41" fillId="5" borderId="0" applyNumberFormat="0" applyBorder="0" applyAlignment="0" applyProtection="0">
      <alignment vertical="center"/>
    </xf>
    <xf numFmtId="0" fontId="78" fillId="11" borderId="19" applyNumberFormat="0" applyAlignment="0" applyProtection="0">
      <alignment vertical="center"/>
    </xf>
    <xf numFmtId="10" fontId="108" fillId="0" borderId="0" applyFont="0" applyFill="0" applyBorder="0" applyAlignment="0" applyProtection="0"/>
    <xf numFmtId="9" fontId="108" fillId="0" borderId="0" applyFont="0" applyFill="0" applyBorder="0" applyAlignment="0" applyProtection="0"/>
    <xf numFmtId="15" fontId="108" fillId="0" borderId="0" applyFont="0" applyFill="0" applyBorder="0" applyAlignment="0" applyProtection="0"/>
    <xf numFmtId="0" fontId="41" fillId="5" borderId="0" applyNumberFormat="0" applyBorder="0" applyAlignment="0" applyProtection="0">
      <alignment vertical="center"/>
    </xf>
    <xf numFmtId="0" fontId="108" fillId="25" borderId="0" applyNumberFormat="0" applyFont="0" applyBorder="0" applyAlignment="0" applyProtection="0"/>
    <xf numFmtId="0" fontId="59" fillId="7" borderId="0" applyNumberFormat="0" applyBorder="0" applyAlignment="0" applyProtection="0">
      <alignment vertical="center"/>
    </xf>
    <xf numFmtId="0" fontId="87" fillId="0" borderId="0" applyNumberFormat="0" applyFill="0" applyBorder="0" applyAlignment="0" applyProtection="0"/>
    <xf numFmtId="0" fontId="56" fillId="5" borderId="0" applyNumberFormat="0" applyBorder="0" applyAlignment="0" applyProtection="0">
      <alignment vertical="center"/>
    </xf>
    <xf numFmtId="0" fontId="41" fillId="5" borderId="0" applyNumberFormat="0" applyBorder="0" applyAlignment="0" applyProtection="0">
      <alignment vertical="center"/>
    </xf>
    <xf numFmtId="0" fontId="67" fillId="22" borderId="9">
      <protection locked="0"/>
    </xf>
    <xf numFmtId="176" fontId="108" fillId="0" borderId="0" applyFont="0" applyFill="0" applyBorder="0" applyAlignment="0" applyProtection="0"/>
    <xf numFmtId="0" fontId="41" fillId="5" borderId="0" applyNumberFormat="0" applyBorder="0" applyAlignment="0" applyProtection="0">
      <alignment vertical="center"/>
    </xf>
    <xf numFmtId="0" fontId="75" fillId="0" borderId="0"/>
    <xf numFmtId="0" fontId="67" fillId="22" borderId="9">
      <protection locked="0"/>
    </xf>
    <xf numFmtId="0" fontId="41" fillId="5" borderId="0" applyNumberFormat="0" applyBorder="0" applyAlignment="0" applyProtection="0">
      <alignment vertical="center"/>
    </xf>
    <xf numFmtId="0" fontId="62" fillId="0" borderId="0" applyNumberFormat="0" applyFill="0" applyBorder="0" applyAlignment="0" applyProtection="0">
      <alignment vertical="center"/>
    </xf>
    <xf numFmtId="0" fontId="41" fillId="5" borderId="0" applyNumberFormat="0" applyBorder="0" applyAlignment="0" applyProtection="0">
      <alignment vertical="center"/>
    </xf>
    <xf numFmtId="0" fontId="80" fillId="0" borderId="21" applyProtection="0"/>
    <xf numFmtId="0" fontId="41" fillId="5" borderId="0" applyNumberFormat="0" applyBorder="0" applyAlignment="0" applyProtection="0">
      <alignment vertical="center"/>
    </xf>
    <xf numFmtId="0" fontId="26" fillId="0" borderId="0" applyNumberFormat="0" applyFill="0" applyBorder="0" applyAlignment="0" applyProtection="0">
      <alignment vertical="center"/>
    </xf>
    <xf numFmtId="0" fontId="26" fillId="0" borderId="0" applyNumberFormat="0" applyFill="0" applyBorder="0" applyAlignment="0" applyProtection="0">
      <alignment vertical="center"/>
    </xf>
    <xf numFmtId="189" fontId="108" fillId="0" borderId="0" applyFont="0" applyFill="0" applyBorder="0" applyAlignment="0" applyProtection="0"/>
    <xf numFmtId="197" fontId="108" fillId="0" borderId="0" applyFont="0" applyFill="0" applyBorder="0" applyAlignment="0" applyProtection="0"/>
    <xf numFmtId="9" fontId="108" fillId="0" borderId="0" applyFont="0" applyFill="0" applyBorder="0" applyAlignment="0" applyProtection="0">
      <alignment vertical="center"/>
    </xf>
    <xf numFmtId="0" fontId="50" fillId="2" borderId="0" applyNumberFormat="0" applyBorder="0" applyAlignment="0" applyProtection="0">
      <alignment vertical="center"/>
    </xf>
    <xf numFmtId="192" fontId="108" fillId="0" borderId="0" applyFont="0" applyFill="0" applyBorder="0" applyAlignment="0" applyProtection="0"/>
    <xf numFmtId="0" fontId="85" fillId="0" borderId="0"/>
    <xf numFmtId="0" fontId="41" fillId="7" borderId="0" applyNumberFormat="0" applyBorder="0" applyAlignment="0" applyProtection="0">
      <alignment vertical="center"/>
    </xf>
    <xf numFmtId="9" fontId="108" fillId="0" borderId="0" applyFont="0" applyFill="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9" fontId="108" fillId="0" borderId="0" applyFont="0" applyFill="0" applyBorder="0" applyAlignment="0" applyProtection="0">
      <alignment vertical="center"/>
    </xf>
    <xf numFmtId="9" fontId="108" fillId="0" borderId="0" applyFont="0" applyFill="0" applyBorder="0" applyAlignment="0" applyProtection="0">
      <alignment vertical="center"/>
    </xf>
    <xf numFmtId="9" fontId="108" fillId="0" borderId="0" applyFont="0" applyFill="0" applyBorder="0" applyAlignment="0" applyProtection="0">
      <alignment vertical="center"/>
    </xf>
    <xf numFmtId="0" fontId="69" fillId="0" borderId="13" applyNumberFormat="0" applyFill="0" applyAlignment="0" applyProtection="0">
      <alignment vertical="center"/>
    </xf>
    <xf numFmtId="200" fontId="108" fillId="0" borderId="0" applyFont="0" applyFill="0" applyBorder="0" applyAlignment="0" applyProtection="0"/>
    <xf numFmtId="0" fontId="41" fillId="5" borderId="0" applyNumberFormat="0" applyBorder="0" applyAlignment="0" applyProtection="0">
      <alignment vertical="center"/>
    </xf>
    <xf numFmtId="0" fontId="58" fillId="0" borderId="7" applyNumberFormat="0" applyFill="0" applyProtection="0">
      <alignment horizontal="right"/>
    </xf>
    <xf numFmtId="0" fontId="50" fillId="2" borderId="0" applyNumberFormat="0" applyBorder="0" applyAlignment="0" applyProtection="0">
      <alignment vertical="center"/>
    </xf>
    <xf numFmtId="0" fontId="48" fillId="0" borderId="16" applyNumberFormat="0" applyFill="0" applyAlignment="0" applyProtection="0">
      <alignment vertical="center"/>
    </xf>
    <xf numFmtId="0" fontId="88" fillId="0" borderId="17" applyNumberFormat="0" applyFill="0" applyAlignment="0" applyProtection="0">
      <alignment vertical="center"/>
    </xf>
    <xf numFmtId="0" fontId="50" fillId="2" borderId="0" applyNumberFormat="0" applyBorder="0" applyAlignment="0" applyProtection="0">
      <alignment vertical="center"/>
    </xf>
    <xf numFmtId="0" fontId="54" fillId="0" borderId="17" applyNumberFormat="0" applyFill="0" applyAlignment="0" applyProtection="0">
      <alignment vertical="center"/>
    </xf>
    <xf numFmtId="209" fontId="108" fillId="0" borderId="0" applyFont="0" applyFill="0" applyBorder="0" applyAlignment="0" applyProtection="0">
      <alignment vertical="center"/>
    </xf>
    <xf numFmtId="0" fontId="88" fillId="0" borderId="0" applyNumberFormat="0" applyFill="0" applyBorder="0" applyAlignment="0" applyProtection="0">
      <alignment vertical="center"/>
    </xf>
    <xf numFmtId="0" fontId="41" fillId="5" borderId="0" applyNumberFormat="0" applyBorder="0" applyAlignment="0" applyProtection="0">
      <alignment vertical="center"/>
    </xf>
    <xf numFmtId="43" fontId="108" fillId="0" borderId="0" applyFont="0" applyFill="0" applyBorder="0" applyAlignment="0" applyProtection="0"/>
    <xf numFmtId="0" fontId="54" fillId="0" borderId="0" applyNumberFormat="0" applyFill="0" applyBorder="0" applyAlignment="0" applyProtection="0">
      <alignment vertical="center"/>
    </xf>
    <xf numFmtId="0" fontId="41" fillId="5" borderId="0" applyNumberFormat="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60" fillId="4" borderId="0" applyNumberFormat="0" applyBorder="0" applyAlignment="0" applyProtection="0">
      <alignment vertical="center"/>
    </xf>
    <xf numFmtId="0" fontId="89" fillId="0" borderId="7" applyNumberFormat="0" applyFill="0" applyProtection="0">
      <alignment horizontal="center"/>
    </xf>
    <xf numFmtId="0" fontId="90" fillId="0" borderId="0" applyNumberFormat="0" applyFill="0" applyBorder="0" applyAlignment="0" applyProtection="0"/>
    <xf numFmtId="0" fontId="108" fillId="0" borderId="0">
      <alignment vertical="center"/>
    </xf>
    <xf numFmtId="0" fontId="90" fillId="0" borderId="0" applyNumberFormat="0" applyFill="0" applyBorder="0" applyAlignment="0" applyProtection="0"/>
    <xf numFmtId="0" fontId="56"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53" fillId="7" borderId="0" applyNumberFormat="0" applyBorder="0" applyAlignment="0" applyProtection="0">
      <alignment vertical="center"/>
    </xf>
    <xf numFmtId="0" fontId="41" fillId="5" borderId="0" applyNumberFormat="0" applyBorder="0" applyAlignment="0" applyProtection="0">
      <alignment vertical="center"/>
    </xf>
    <xf numFmtId="0" fontId="50" fillId="2"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59" fillId="7" borderId="0" applyNumberFormat="0" applyBorder="0" applyAlignment="0" applyProtection="0">
      <alignment vertical="center"/>
    </xf>
    <xf numFmtId="0" fontId="59" fillId="7" borderId="0" applyNumberFormat="0" applyBorder="0" applyAlignment="0" applyProtection="0">
      <alignment vertical="center"/>
    </xf>
    <xf numFmtId="0" fontId="59" fillId="7" borderId="0" applyNumberFormat="0" applyBorder="0" applyAlignment="0" applyProtection="0">
      <alignment vertical="center"/>
    </xf>
    <xf numFmtId="0" fontId="59" fillId="7"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59" fillId="7" borderId="0" applyNumberFormat="0" applyBorder="0" applyAlignment="0" applyProtection="0">
      <alignment vertical="center"/>
    </xf>
    <xf numFmtId="0" fontId="86" fillId="0" borderId="0"/>
    <xf numFmtId="0" fontId="59" fillId="7" borderId="0" applyNumberFormat="0" applyBorder="0" applyAlignment="0" applyProtection="0">
      <alignment vertical="center"/>
    </xf>
    <xf numFmtId="0" fontId="41" fillId="7" borderId="0" applyNumberFormat="0" applyBorder="0" applyAlignment="0" applyProtection="0">
      <alignment vertical="center"/>
    </xf>
    <xf numFmtId="0" fontId="41" fillId="7"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7" borderId="0" applyNumberFormat="0" applyBorder="0" applyAlignment="0" applyProtection="0">
      <alignment vertical="center"/>
    </xf>
    <xf numFmtId="0" fontId="41" fillId="7"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53" fillId="5" borderId="0" applyNumberFormat="0" applyBorder="0" applyAlignment="0" applyProtection="0">
      <alignment vertical="center"/>
    </xf>
    <xf numFmtId="0" fontId="53"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56"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50" fillId="4"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59" fillId="7"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181" fontId="12" fillId="0" borderId="1">
      <alignment vertical="center"/>
      <protection locked="0"/>
    </xf>
    <xf numFmtId="0" fontId="41" fillId="5" borderId="0" applyNumberFormat="0" applyBorder="0" applyAlignment="0" applyProtection="0">
      <alignment vertical="center"/>
    </xf>
    <xf numFmtId="181" fontId="12" fillId="0" borderId="1">
      <alignment vertical="center"/>
      <protection locked="0"/>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10" fillId="0" borderId="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7" borderId="0" applyNumberFormat="0" applyBorder="0" applyAlignment="0" applyProtection="0">
      <alignment vertical="center"/>
    </xf>
    <xf numFmtId="0" fontId="50" fillId="2" borderId="0" applyNumberFormat="0" applyBorder="0" applyAlignment="0" applyProtection="0">
      <alignment vertical="center"/>
    </xf>
    <xf numFmtId="0" fontId="41" fillId="7" borderId="0" applyNumberFormat="0" applyBorder="0" applyAlignment="0" applyProtection="0">
      <alignment vertical="center"/>
    </xf>
    <xf numFmtId="0" fontId="50" fillId="2"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91" fillId="5" borderId="0" applyNumberFormat="0" applyBorder="0" applyAlignment="0" applyProtection="0">
      <alignment vertical="center"/>
    </xf>
    <xf numFmtId="0" fontId="91" fillId="5" borderId="0" applyNumberFormat="0" applyBorder="0" applyAlignment="0" applyProtection="0">
      <alignment vertical="center"/>
    </xf>
    <xf numFmtId="0" fontId="91" fillId="7" borderId="0" applyNumberFormat="0" applyBorder="0" applyAlignment="0" applyProtection="0">
      <alignment vertical="center"/>
    </xf>
    <xf numFmtId="0" fontId="91" fillId="7" borderId="0" applyNumberFormat="0" applyBorder="0" applyAlignment="0" applyProtection="0">
      <alignment vertical="center"/>
    </xf>
    <xf numFmtId="0" fontId="91" fillId="5" borderId="0" applyNumberFormat="0" applyBorder="0" applyAlignment="0" applyProtection="0">
      <alignment vertical="center"/>
    </xf>
    <xf numFmtId="0" fontId="91" fillId="7" borderId="0" applyNumberFormat="0" applyBorder="0" applyAlignment="0" applyProtection="0">
      <alignment vertical="center"/>
    </xf>
    <xf numFmtId="0" fontId="91" fillId="5" borderId="0" applyNumberFormat="0" applyBorder="0" applyAlignment="0" applyProtection="0">
      <alignment vertical="center"/>
    </xf>
    <xf numFmtId="0" fontId="51" fillId="5" borderId="0" applyNumberFormat="0" applyBorder="0" applyAlignment="0" applyProtection="0">
      <alignment vertical="center"/>
    </xf>
    <xf numFmtId="0" fontId="50" fillId="2" borderId="0" applyNumberFormat="0" applyBorder="0" applyAlignment="0" applyProtection="0">
      <alignment vertical="center"/>
    </xf>
    <xf numFmtId="0" fontId="72" fillId="5" borderId="0" applyNumberFormat="0" applyBorder="0" applyAlignment="0" applyProtection="0"/>
    <xf numFmtId="0" fontId="72" fillId="5" borderId="0" applyNumberFormat="0" applyBorder="0" applyAlignment="0" applyProtection="0"/>
    <xf numFmtId="0" fontId="91" fillId="5" borderId="0" applyNumberFormat="0" applyBorder="0" applyAlignment="0" applyProtection="0">
      <alignment vertical="center"/>
    </xf>
    <xf numFmtId="0" fontId="56" fillId="5" borderId="0" applyNumberFormat="0" applyBorder="0" applyAlignment="0" applyProtection="0">
      <alignment vertical="center"/>
    </xf>
    <xf numFmtId="0" fontId="72" fillId="5" borderId="0" applyNumberFormat="0" applyBorder="0" applyAlignment="0" applyProtection="0"/>
    <xf numFmtId="0" fontId="91" fillId="5" borderId="0" applyNumberFormat="0" applyBorder="0" applyAlignment="0" applyProtection="0">
      <alignment vertical="center"/>
    </xf>
    <xf numFmtId="0" fontId="91" fillId="5" borderId="0" applyNumberFormat="0" applyBorder="0" applyAlignment="0" applyProtection="0">
      <alignment vertical="center"/>
    </xf>
    <xf numFmtId="0" fontId="72" fillId="5" borderId="0" applyNumberFormat="0" applyBorder="0" applyAlignment="0" applyProtection="0"/>
    <xf numFmtId="0" fontId="41" fillId="5" borderId="0" applyNumberFormat="0" applyBorder="0" applyAlignment="0" applyProtection="0">
      <alignment vertical="center"/>
    </xf>
    <xf numFmtId="0" fontId="72" fillId="5" borderId="0" applyNumberFormat="0" applyBorder="0" applyAlignment="0" applyProtection="0"/>
    <xf numFmtId="0" fontId="72" fillId="5" borderId="0" applyNumberFormat="0" applyBorder="0" applyAlignment="0" applyProtection="0"/>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51" fillId="5" borderId="0" applyNumberFormat="0" applyBorder="0" applyAlignment="0" applyProtection="0">
      <alignment vertical="center"/>
    </xf>
    <xf numFmtId="0" fontId="53" fillId="7" borderId="0" applyNumberFormat="0" applyBorder="0" applyAlignment="0" applyProtection="0">
      <alignment vertical="center"/>
    </xf>
    <xf numFmtId="0" fontId="92" fillId="0" borderId="24" applyNumberFormat="0" applyFill="0" applyAlignment="0" applyProtection="0">
      <alignment vertical="center"/>
    </xf>
    <xf numFmtId="0" fontId="59" fillId="7" borderId="0" applyNumberFormat="0" applyBorder="0" applyAlignment="0" applyProtection="0">
      <alignment vertical="center"/>
    </xf>
    <xf numFmtId="0" fontId="53" fillId="7" borderId="0" applyNumberFormat="0" applyBorder="0" applyAlignment="0" applyProtection="0">
      <alignment vertical="center"/>
    </xf>
    <xf numFmtId="0" fontId="53" fillId="7" borderId="0" applyNumberFormat="0" applyBorder="0" applyAlignment="0" applyProtection="0">
      <alignment vertical="center"/>
    </xf>
    <xf numFmtId="0" fontId="41" fillId="5" borderId="0" applyNumberFormat="0" applyBorder="0" applyAlignment="0" applyProtection="0">
      <alignment vertical="center"/>
    </xf>
    <xf numFmtId="41" fontId="108" fillId="0" borderId="0" applyFont="0" applyFill="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51" fillId="5" borderId="0" applyNumberFormat="0" applyBorder="0" applyAlignment="0" applyProtection="0">
      <alignment vertical="center"/>
    </xf>
    <xf numFmtId="0" fontId="41" fillId="5" borderId="0" applyNumberFormat="0" applyBorder="0" applyAlignment="0" applyProtection="0">
      <alignment vertical="center"/>
    </xf>
    <xf numFmtId="0" fontId="41" fillId="7" borderId="0" applyNumberFormat="0" applyBorder="0" applyAlignment="0" applyProtection="0">
      <alignment vertical="center"/>
    </xf>
    <xf numFmtId="0" fontId="41" fillId="7" borderId="0" applyNumberFormat="0" applyBorder="0" applyAlignment="0" applyProtection="0">
      <alignment vertical="center"/>
    </xf>
    <xf numFmtId="0" fontId="51" fillId="5" borderId="0" applyNumberFormat="0" applyBorder="0" applyAlignment="0" applyProtection="0">
      <alignment vertical="center"/>
    </xf>
    <xf numFmtId="0" fontId="51" fillId="5" borderId="0" applyNumberFormat="0" applyBorder="0" applyAlignment="0" applyProtection="0">
      <alignment vertical="center"/>
    </xf>
    <xf numFmtId="0" fontId="51" fillId="5" borderId="0" applyNumberFormat="0" applyBorder="0" applyAlignment="0" applyProtection="0">
      <alignment vertical="center"/>
    </xf>
    <xf numFmtId="0" fontId="56"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53" fillId="7" borderId="0" applyNumberFormat="0" applyBorder="0" applyAlignment="0" applyProtection="0">
      <alignment vertical="center"/>
    </xf>
    <xf numFmtId="0" fontId="53" fillId="7" borderId="0" applyNumberFormat="0" applyBorder="0" applyAlignment="0" applyProtection="0">
      <alignment vertical="center"/>
    </xf>
    <xf numFmtId="0" fontId="56"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7" borderId="0" applyNumberFormat="0" applyBorder="0" applyAlignment="0" applyProtection="0">
      <alignment vertical="center"/>
    </xf>
    <xf numFmtId="0" fontId="41" fillId="7" borderId="0" applyNumberFormat="0" applyBorder="0" applyAlignment="0" applyProtection="0">
      <alignment vertical="center"/>
    </xf>
    <xf numFmtId="0" fontId="72" fillId="5" borderId="0" applyNumberFormat="0" applyBorder="0" applyAlignment="0" applyProtection="0"/>
    <xf numFmtId="0" fontId="72" fillId="5" borderId="0" applyNumberFormat="0" applyBorder="0" applyAlignment="0" applyProtection="0"/>
    <xf numFmtId="0" fontId="41" fillId="7" borderId="0" applyNumberFormat="0" applyBorder="0" applyAlignment="0" applyProtection="0">
      <alignment vertical="center"/>
    </xf>
    <xf numFmtId="0" fontId="41" fillId="7" borderId="0" applyNumberFormat="0" applyBorder="0" applyAlignment="0" applyProtection="0">
      <alignment vertical="center"/>
    </xf>
    <xf numFmtId="0" fontId="56"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199" fontId="58" fillId="0" borderId="12" applyFill="0" applyProtection="0">
      <alignment horizontal="right"/>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56" fillId="5" borderId="0" applyNumberFormat="0" applyBorder="0" applyAlignment="0" applyProtection="0">
      <alignment vertical="center"/>
    </xf>
    <xf numFmtId="0" fontId="56"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56" fillId="5" borderId="0" applyNumberFormat="0" applyBorder="0" applyAlignment="0" applyProtection="0">
      <alignment vertical="center"/>
    </xf>
    <xf numFmtId="0" fontId="56"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7" borderId="0" applyNumberFormat="0" applyBorder="0" applyAlignment="0" applyProtection="0">
      <alignment vertical="center"/>
    </xf>
    <xf numFmtId="0" fontId="50" fillId="2" borderId="0" applyNumberFormat="0" applyBorder="0" applyAlignment="0" applyProtection="0">
      <alignment vertical="center"/>
    </xf>
    <xf numFmtId="0" fontId="41" fillId="7" borderId="0" applyNumberFormat="0" applyBorder="0" applyAlignment="0" applyProtection="0">
      <alignment vertical="center"/>
    </xf>
    <xf numFmtId="0" fontId="56" fillId="5" borderId="0" applyNumberFormat="0" applyBorder="0" applyAlignment="0" applyProtection="0">
      <alignment vertical="center"/>
    </xf>
    <xf numFmtId="0" fontId="41" fillId="5" borderId="0" applyNumberFormat="0" applyBorder="0" applyAlignment="0" applyProtection="0">
      <alignment vertical="center"/>
    </xf>
    <xf numFmtId="0" fontId="108" fillId="0" borderId="0"/>
    <xf numFmtId="0" fontId="41" fillId="5" borderId="0" applyNumberFormat="0" applyBorder="0" applyAlignment="0" applyProtection="0">
      <alignment vertical="center"/>
    </xf>
    <xf numFmtId="0" fontId="64" fillId="2"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56" fillId="5" borderId="0" applyNumberFormat="0" applyBorder="0" applyAlignment="0" applyProtection="0">
      <alignment vertical="center"/>
    </xf>
    <xf numFmtId="0" fontId="50" fillId="4" borderId="0" applyNumberFormat="0" applyBorder="0" applyAlignment="0" applyProtection="0">
      <alignment vertical="center"/>
    </xf>
    <xf numFmtId="0" fontId="50" fillId="2" borderId="0" applyNumberFormat="0" applyBorder="0" applyAlignment="0" applyProtection="0">
      <alignment vertical="center"/>
    </xf>
    <xf numFmtId="0" fontId="41" fillId="5" borderId="0" applyNumberFormat="0" applyBorder="0" applyAlignment="0" applyProtection="0">
      <alignment vertical="center"/>
    </xf>
    <xf numFmtId="0" fontId="60" fillId="4"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41" fillId="5" borderId="0" applyNumberFormat="0" applyBorder="0" applyAlignment="0" applyProtection="0">
      <alignment vertical="center"/>
    </xf>
    <xf numFmtId="0" fontId="53" fillId="7" borderId="0" applyNumberFormat="0" applyBorder="0" applyAlignment="0" applyProtection="0">
      <alignment vertical="center"/>
    </xf>
    <xf numFmtId="0" fontId="53" fillId="7" borderId="0" applyNumberFormat="0" applyBorder="0" applyAlignment="0" applyProtection="0">
      <alignment vertical="center"/>
    </xf>
    <xf numFmtId="0" fontId="56" fillId="5" borderId="0" applyNumberFormat="0" applyBorder="0" applyAlignment="0" applyProtection="0">
      <alignment vertical="center"/>
    </xf>
    <xf numFmtId="0" fontId="50" fillId="2" borderId="0" applyNumberFormat="0" applyBorder="0" applyAlignment="0" applyProtection="0">
      <alignment vertical="center"/>
    </xf>
    <xf numFmtId="0" fontId="108" fillId="0" borderId="0">
      <protection locked="0"/>
    </xf>
    <xf numFmtId="0" fontId="108" fillId="0" borderId="0">
      <protection locked="0"/>
    </xf>
    <xf numFmtId="0" fontId="108" fillId="0" borderId="0">
      <protection locked="0"/>
    </xf>
    <xf numFmtId="0" fontId="108" fillId="0" borderId="0">
      <protection locked="0"/>
    </xf>
    <xf numFmtId="0" fontId="108" fillId="0" borderId="0">
      <alignment vertical="center"/>
    </xf>
    <xf numFmtId="0" fontId="108" fillId="0" borderId="0">
      <alignment vertical="center"/>
    </xf>
    <xf numFmtId="0" fontId="108" fillId="0" borderId="0">
      <alignment vertical="center"/>
    </xf>
    <xf numFmtId="0" fontId="108" fillId="0" borderId="0">
      <alignment vertical="center"/>
    </xf>
    <xf numFmtId="0" fontId="108" fillId="0" borderId="0">
      <alignment vertical="center"/>
    </xf>
    <xf numFmtId="0" fontId="108" fillId="0" borderId="0">
      <alignment vertical="center"/>
    </xf>
    <xf numFmtId="0" fontId="108" fillId="0" borderId="0">
      <alignment vertical="center"/>
    </xf>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8" fillId="0" borderId="0"/>
    <xf numFmtId="0" fontId="10" fillId="0" borderId="0">
      <alignment vertical="center"/>
    </xf>
    <xf numFmtId="0" fontId="93" fillId="10" borderId="15" applyNumberFormat="0" applyAlignment="0" applyProtection="0">
      <alignment vertical="center"/>
    </xf>
    <xf numFmtId="0" fontId="108" fillId="0" borderId="0"/>
    <xf numFmtId="0" fontId="47" fillId="10" borderId="15" applyNumberFormat="0" applyAlignment="0" applyProtection="0">
      <alignment vertical="center"/>
    </xf>
    <xf numFmtId="0" fontId="108" fillId="0" borderId="0"/>
    <xf numFmtId="0" fontId="108" fillId="0" borderId="0">
      <alignment vertical="center"/>
    </xf>
    <xf numFmtId="0" fontId="108" fillId="0" borderId="0"/>
    <xf numFmtId="0" fontId="108" fillId="0" borderId="0"/>
    <xf numFmtId="0" fontId="108" fillId="0" borderId="0"/>
    <xf numFmtId="0" fontId="108" fillId="0" borderId="0">
      <alignment vertical="center"/>
    </xf>
    <xf numFmtId="0" fontId="108" fillId="0" borderId="0"/>
    <xf numFmtId="0" fontId="108" fillId="0" borderId="0">
      <alignment vertical="center"/>
    </xf>
    <xf numFmtId="0" fontId="108" fillId="0" borderId="0">
      <alignment vertical="center"/>
    </xf>
    <xf numFmtId="0" fontId="108" fillId="0" borderId="0" applyNumberFormat="0" applyFill="0" applyBorder="0" applyAlignment="0" applyProtection="0">
      <alignment vertical="top"/>
    </xf>
    <xf numFmtId="0" fontId="108" fillId="0" borderId="0"/>
    <xf numFmtId="0" fontId="108" fillId="0" borderId="0"/>
    <xf numFmtId="0" fontId="108" fillId="0" borderId="0" applyNumberFormat="0" applyFill="0" applyBorder="0" applyAlignment="0" applyProtection="0">
      <alignment vertical="top"/>
    </xf>
    <xf numFmtId="0" fontId="10" fillId="0" borderId="0">
      <alignment vertical="center"/>
    </xf>
    <xf numFmtId="0" fontId="108" fillId="0" borderId="0"/>
    <xf numFmtId="0" fontId="108" fillId="0" borderId="0">
      <protection locked="0"/>
    </xf>
    <xf numFmtId="0" fontId="108" fillId="0" borderId="0">
      <protection locked="0"/>
    </xf>
    <xf numFmtId="0" fontId="108" fillId="0" borderId="0">
      <protection locked="0"/>
    </xf>
    <xf numFmtId="0" fontId="108" fillId="0" borderId="0">
      <protection locked="0"/>
    </xf>
    <xf numFmtId="0" fontId="108" fillId="0" borderId="0">
      <protection locked="0"/>
    </xf>
    <xf numFmtId="0" fontId="95" fillId="4" borderId="0" applyNumberFormat="0" applyBorder="0" applyAlignment="0" applyProtection="0">
      <alignment vertical="center"/>
    </xf>
    <xf numFmtId="0" fontId="108" fillId="0" borderId="0">
      <protection locked="0"/>
    </xf>
    <xf numFmtId="0" fontId="108" fillId="0" borderId="0">
      <protection locked="0"/>
    </xf>
    <xf numFmtId="0" fontId="108" fillId="0" borderId="0" applyNumberFormat="0" applyFill="0" applyBorder="0" applyAlignment="0" applyProtection="0"/>
    <xf numFmtId="0" fontId="96" fillId="0" borderId="0" applyNumberFormat="0" applyFill="0" applyBorder="0" applyAlignment="0" applyProtection="0"/>
    <xf numFmtId="0" fontId="64"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60" fillId="4" borderId="0" applyNumberFormat="0" applyBorder="0" applyAlignment="0" applyProtection="0">
      <alignment vertical="center"/>
    </xf>
    <xf numFmtId="0" fontId="60" fillId="4" borderId="0" applyNumberFormat="0" applyBorder="0" applyAlignment="0" applyProtection="0">
      <alignment vertical="center"/>
    </xf>
    <xf numFmtId="0" fontId="60" fillId="4" borderId="0" applyNumberFormat="0" applyBorder="0" applyAlignment="0" applyProtection="0">
      <alignment vertical="center"/>
    </xf>
    <xf numFmtId="0" fontId="95" fillId="4" borderId="0" applyNumberFormat="0" applyBorder="0" applyAlignment="0" applyProtection="0">
      <alignment vertical="center"/>
    </xf>
    <xf numFmtId="0" fontId="95" fillId="4" borderId="0" applyNumberFormat="0" applyBorder="0" applyAlignment="0" applyProtection="0">
      <alignment vertical="center"/>
    </xf>
    <xf numFmtId="0" fontId="60" fillId="4" borderId="0" applyNumberFormat="0" applyBorder="0" applyAlignment="0" applyProtection="0">
      <alignment vertical="center"/>
    </xf>
    <xf numFmtId="0" fontId="60" fillId="4" borderId="0" applyNumberFormat="0" applyBorder="0" applyAlignment="0" applyProtection="0">
      <alignment vertical="center"/>
    </xf>
    <xf numFmtId="0" fontId="60" fillId="4" borderId="0" applyNumberFormat="0" applyBorder="0" applyAlignment="0" applyProtection="0">
      <alignment vertical="center"/>
    </xf>
    <xf numFmtId="0" fontId="50" fillId="4" borderId="0" applyNumberFormat="0" applyBorder="0" applyAlignment="0" applyProtection="0">
      <alignment vertical="center"/>
    </xf>
    <xf numFmtId="0" fontId="50" fillId="4"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4"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95" fillId="4" borderId="0" applyNumberFormat="0" applyBorder="0" applyAlignment="0" applyProtection="0">
      <alignment vertical="center"/>
    </xf>
    <xf numFmtId="0" fontId="95" fillId="4" borderId="0" applyNumberFormat="0" applyBorder="0" applyAlignment="0" applyProtection="0">
      <alignment vertical="center"/>
    </xf>
    <xf numFmtId="0" fontId="64" fillId="2" borderId="0" applyNumberFormat="0" applyBorder="0" applyAlignment="0" applyProtection="0">
      <alignment vertical="center"/>
    </xf>
    <xf numFmtId="0" fontId="95" fillId="4" borderId="0" applyNumberFormat="0" applyBorder="0" applyAlignment="0" applyProtection="0">
      <alignment vertical="center"/>
    </xf>
    <xf numFmtId="0" fontId="95" fillId="4"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4" borderId="0" applyNumberFormat="0" applyBorder="0" applyAlignment="0" applyProtection="0">
      <alignment vertical="center"/>
    </xf>
    <xf numFmtId="0" fontId="50" fillId="4" borderId="0" applyNumberFormat="0" applyBorder="0" applyAlignment="0" applyProtection="0">
      <alignment vertical="center"/>
    </xf>
    <xf numFmtId="0" fontId="46" fillId="0" borderId="14" applyNumberFormat="0" applyFill="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64"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64"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60" fillId="2" borderId="0" applyNumberFormat="0" applyBorder="0" applyAlignment="0" applyProtection="0"/>
    <xf numFmtId="0" fontId="60" fillId="2" borderId="0" applyNumberFormat="0" applyBorder="0" applyAlignment="0" applyProtection="0"/>
    <xf numFmtId="0" fontId="95" fillId="2" borderId="0" applyNumberFormat="0" applyBorder="0" applyAlignment="0" applyProtection="0">
      <alignment vertical="center"/>
    </xf>
    <xf numFmtId="0" fontId="95" fillId="2" borderId="0" applyNumberFormat="0" applyBorder="0" applyAlignment="0" applyProtection="0">
      <alignment vertical="center"/>
    </xf>
    <xf numFmtId="0" fontId="60" fillId="2" borderId="0" applyNumberFormat="0" applyBorder="0" applyAlignment="0" applyProtection="0">
      <alignment vertical="center"/>
    </xf>
    <xf numFmtId="0" fontId="60" fillId="2" borderId="0" applyNumberFormat="0" applyBorder="0" applyAlignment="0" applyProtection="0">
      <alignment vertical="center"/>
    </xf>
    <xf numFmtId="0" fontId="50" fillId="4" borderId="0" applyNumberFormat="0" applyBorder="0" applyAlignment="0" applyProtection="0">
      <alignment vertical="center"/>
    </xf>
    <xf numFmtId="0" fontId="50" fillId="4" borderId="0" applyNumberFormat="0" applyBorder="0" applyAlignment="0" applyProtection="0">
      <alignment vertical="center"/>
    </xf>
    <xf numFmtId="0" fontId="50" fillId="2" borderId="0" applyNumberFormat="0" applyBorder="0" applyAlignment="0" applyProtection="0">
      <alignment vertical="center"/>
    </xf>
    <xf numFmtId="0" fontId="60" fillId="2" borderId="0" applyNumberFormat="0" applyBorder="0" applyAlignment="0" applyProtection="0"/>
    <xf numFmtId="0" fontId="60" fillId="2" borderId="0" applyNumberFormat="0" applyBorder="0" applyAlignment="0" applyProtection="0"/>
    <xf numFmtId="0" fontId="94" fillId="4" borderId="0" applyNumberFormat="0" applyBorder="0" applyAlignment="0" applyProtection="0">
      <alignment vertical="center"/>
    </xf>
    <xf numFmtId="0" fontId="94" fillId="4" borderId="0" applyNumberFormat="0" applyBorder="0" applyAlignment="0" applyProtection="0">
      <alignment vertical="center"/>
    </xf>
    <xf numFmtId="0" fontId="60" fillId="2" borderId="0" applyNumberFormat="0" applyBorder="0" applyAlignment="0" applyProtection="0"/>
    <xf numFmtId="0" fontId="94" fillId="4" borderId="0" applyNumberFormat="0" applyBorder="0" applyAlignment="0" applyProtection="0">
      <alignment vertical="center"/>
    </xf>
    <xf numFmtId="0" fontId="60" fillId="2" borderId="0" applyNumberFormat="0" applyBorder="0" applyAlignment="0" applyProtection="0"/>
    <xf numFmtId="0" fontId="94" fillId="2" borderId="0" applyNumberFormat="0" applyBorder="0" applyAlignment="0" applyProtection="0">
      <alignment vertical="center"/>
    </xf>
    <xf numFmtId="0" fontId="94" fillId="2" borderId="0" applyNumberFormat="0" applyBorder="0" applyAlignment="0" applyProtection="0">
      <alignment vertical="center"/>
    </xf>
    <xf numFmtId="0" fontId="60" fillId="2" borderId="0" applyNumberFormat="0" applyBorder="0" applyAlignment="0" applyProtection="0"/>
    <xf numFmtId="0" fontId="50" fillId="2" borderId="0" applyNumberFormat="0" applyBorder="0" applyAlignment="0" applyProtection="0">
      <alignment vertical="center"/>
    </xf>
    <xf numFmtId="0" fontId="60" fillId="2" borderId="0" applyNumberFormat="0" applyBorder="0" applyAlignment="0" applyProtection="0"/>
    <xf numFmtId="0" fontId="60" fillId="2" borderId="0" applyNumberFormat="0" applyBorder="0" applyAlignment="0" applyProtection="0"/>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94" fillId="2" borderId="0" applyNumberFormat="0" applyBorder="0" applyAlignment="0" applyProtection="0">
      <alignment vertical="center"/>
    </xf>
    <xf numFmtId="0" fontId="94" fillId="2" borderId="0" applyNumberFormat="0" applyBorder="0" applyAlignment="0" applyProtection="0">
      <alignment vertical="center"/>
    </xf>
    <xf numFmtId="0" fontId="94"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94" fillId="2" borderId="0" applyNumberFormat="0" applyBorder="0" applyAlignment="0" applyProtection="0">
      <alignment vertical="center"/>
    </xf>
    <xf numFmtId="0" fontId="95" fillId="4" borderId="0" applyNumberFormat="0" applyBorder="0" applyAlignment="0" applyProtection="0">
      <alignment vertical="center"/>
    </xf>
    <xf numFmtId="0" fontId="63" fillId="26" borderId="0" applyNumberFormat="0" applyBorder="0" applyAlignment="0" applyProtection="0">
      <alignment vertical="center"/>
    </xf>
    <xf numFmtId="0" fontId="95" fillId="4" borderId="0" applyNumberFormat="0" applyBorder="0" applyAlignment="0" applyProtection="0">
      <alignment vertical="center"/>
    </xf>
    <xf numFmtId="0" fontId="60" fillId="4" borderId="0" applyNumberFormat="0" applyBorder="0" applyAlignment="0" applyProtection="0">
      <alignment vertical="center"/>
    </xf>
    <xf numFmtId="0" fontId="95" fillId="4" borderId="0" applyNumberFormat="0" applyBorder="0" applyAlignment="0" applyProtection="0">
      <alignment vertical="center"/>
    </xf>
    <xf numFmtId="0" fontId="95" fillId="4"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4" borderId="0" applyNumberFormat="0" applyBorder="0" applyAlignment="0" applyProtection="0">
      <alignment vertical="center"/>
    </xf>
    <xf numFmtId="0" fontId="50" fillId="4" borderId="0" applyNumberFormat="0" applyBorder="0" applyAlignment="0" applyProtection="0">
      <alignment vertical="center"/>
    </xf>
    <xf numFmtId="0" fontId="64" fillId="2" borderId="0" applyNumberFormat="0" applyBorder="0" applyAlignment="0" applyProtection="0">
      <alignment vertical="center"/>
    </xf>
    <xf numFmtId="0" fontId="64"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95" fillId="4" borderId="0" applyNumberFormat="0" applyBorder="0" applyAlignment="0" applyProtection="0">
      <alignment vertical="center"/>
    </xf>
    <xf numFmtId="0" fontId="50" fillId="2" borderId="0" applyNumberFormat="0" applyBorder="0" applyAlignment="0" applyProtection="0">
      <alignment vertical="center"/>
    </xf>
    <xf numFmtId="0" fontId="50" fillId="4" borderId="0" applyNumberFormat="0" applyBorder="0" applyAlignment="0" applyProtection="0">
      <alignment vertical="center"/>
    </xf>
    <xf numFmtId="0" fontId="50" fillId="4" borderId="0" applyNumberFormat="0" applyBorder="0" applyAlignment="0" applyProtection="0">
      <alignment vertical="center"/>
    </xf>
    <xf numFmtId="0" fontId="60" fillId="2" borderId="0" applyNumberFormat="0" applyBorder="0" applyAlignment="0" applyProtection="0"/>
    <xf numFmtId="0" fontId="50" fillId="4" borderId="0" applyNumberFormat="0" applyBorder="0" applyAlignment="0" applyProtection="0">
      <alignment vertical="center"/>
    </xf>
    <xf numFmtId="0" fontId="50" fillId="4" borderId="0" applyNumberFormat="0" applyBorder="0" applyAlignment="0" applyProtection="0">
      <alignment vertical="center"/>
    </xf>
    <xf numFmtId="0" fontId="64"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64"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4" borderId="0" applyNumberFormat="0" applyBorder="0" applyAlignment="0" applyProtection="0">
      <alignment vertical="center"/>
    </xf>
    <xf numFmtId="0" fontId="50" fillId="4" borderId="0" applyNumberFormat="0" applyBorder="0" applyAlignment="0" applyProtection="0">
      <alignment vertical="center"/>
    </xf>
    <xf numFmtId="0" fontId="64"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64"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50" fillId="2" borderId="0" applyNumberFormat="0" applyBorder="0" applyAlignment="0" applyProtection="0">
      <alignment vertical="center"/>
    </xf>
    <xf numFmtId="0" fontId="95" fillId="4" borderId="0" applyNumberFormat="0" applyBorder="0" applyAlignment="0" applyProtection="0">
      <alignment vertical="center"/>
    </xf>
    <xf numFmtId="0" fontId="95" fillId="4" borderId="0" applyNumberFormat="0" applyBorder="0" applyAlignment="0" applyProtection="0">
      <alignment vertical="center"/>
    </xf>
    <xf numFmtId="0" fontId="64" fillId="2" borderId="0" applyNumberFormat="0" applyBorder="0" applyAlignment="0" applyProtection="0">
      <alignment vertical="center"/>
    </xf>
    <xf numFmtId="207" fontId="108" fillId="0" borderId="0" applyFont="0" applyFill="0" applyBorder="0" applyAlignment="0" applyProtection="0">
      <alignment vertical="center"/>
    </xf>
    <xf numFmtId="0" fontId="97" fillId="0" borderId="0" applyNumberFormat="0" applyFill="0" applyBorder="0" applyAlignment="0" applyProtection="0">
      <alignment vertical="top"/>
      <protection locked="0"/>
    </xf>
    <xf numFmtId="0" fontId="97" fillId="0" borderId="0" applyNumberFormat="0" applyFill="0" applyBorder="0" applyAlignment="0" applyProtection="0">
      <alignment vertical="top"/>
      <protection locked="0"/>
    </xf>
    <xf numFmtId="0" fontId="98" fillId="0" borderId="24" applyNumberFormat="0" applyFill="0" applyAlignment="0" applyProtection="0">
      <alignment vertical="center"/>
    </xf>
    <xf numFmtId="0" fontId="99" fillId="11" borderId="15" applyNumberFormat="0" applyAlignment="0" applyProtection="0">
      <alignment vertical="center"/>
    </xf>
    <xf numFmtId="0" fontId="70" fillId="11" borderId="15" applyNumberFormat="0" applyAlignment="0" applyProtection="0">
      <alignment vertical="center"/>
    </xf>
    <xf numFmtId="0" fontId="100" fillId="13" borderId="22" applyNumberFormat="0" applyAlignment="0" applyProtection="0">
      <alignment vertical="center"/>
    </xf>
    <xf numFmtId="0" fontId="82" fillId="13" borderId="22" applyNumberFormat="0" applyAlignment="0" applyProtection="0">
      <alignment vertical="center"/>
    </xf>
    <xf numFmtId="0" fontId="101" fillId="0" borderId="0" applyNumberFormat="0" applyFill="0" applyBorder="0" applyAlignment="0" applyProtection="0">
      <alignment vertical="center"/>
    </xf>
    <xf numFmtId="0" fontId="73" fillId="0" borderId="0" applyNumberFormat="0" applyFill="0" applyBorder="0" applyAlignment="0" applyProtection="0">
      <alignment vertical="center"/>
    </xf>
    <xf numFmtId="0" fontId="61" fillId="0" borderId="12" applyNumberFormat="0" applyFill="0" applyProtection="0">
      <alignment horizontal="left"/>
    </xf>
    <xf numFmtId="0" fontId="102" fillId="0" borderId="14" applyNumberFormat="0" applyFill="0" applyAlignment="0" applyProtection="0">
      <alignment vertical="center"/>
    </xf>
    <xf numFmtId="203" fontId="108" fillId="0" borderId="0" applyFont="0" applyFill="0" applyBorder="0" applyAlignment="0" applyProtection="0"/>
    <xf numFmtId="191" fontId="108" fillId="0" borderId="0" applyFont="0" applyFill="0" applyBorder="0" applyAlignment="0" applyProtection="0"/>
    <xf numFmtId="198" fontId="108" fillId="0" borderId="0" applyFont="0" applyFill="0" applyBorder="0" applyAlignment="0" applyProtection="0"/>
    <xf numFmtId="206" fontId="108" fillId="0" borderId="0" applyFont="0" applyFill="0" applyBorder="0" applyAlignment="0" applyProtection="0"/>
    <xf numFmtId="0" fontId="18" fillId="0" borderId="0"/>
    <xf numFmtId="41" fontId="108" fillId="0" borderId="0" applyFont="0" applyFill="0" applyBorder="0" applyAlignment="0" applyProtection="0"/>
    <xf numFmtId="43" fontId="108" fillId="0" borderId="0" applyFont="0" applyFill="0" applyBorder="0" applyAlignment="0" applyProtection="0"/>
    <xf numFmtId="41" fontId="108" fillId="0" borderId="0" applyFont="0" applyFill="0" applyBorder="0" applyAlignment="0" applyProtection="0"/>
    <xf numFmtId="43" fontId="108" fillId="0" borderId="0" applyFont="0" applyFill="0" applyBorder="0" applyAlignment="0" applyProtection="0"/>
    <xf numFmtId="43" fontId="108" fillId="0" borderId="0" applyFont="0" applyFill="0" applyBorder="0" applyAlignment="0" applyProtection="0"/>
    <xf numFmtId="43" fontId="108" fillId="0" borderId="0" applyFont="0" applyFill="0" applyBorder="0" applyAlignment="0" applyProtection="0"/>
    <xf numFmtId="43" fontId="108" fillId="0" borderId="0" applyFont="0" applyFill="0" applyBorder="0" applyAlignment="0" applyProtection="0"/>
    <xf numFmtId="43" fontId="108" fillId="0" borderId="0" applyFont="0" applyFill="0" applyBorder="0" applyAlignment="0" applyProtection="0"/>
    <xf numFmtId="209" fontId="108" fillId="0" borderId="0" applyFont="0" applyFill="0" applyBorder="0" applyAlignment="0" applyProtection="0">
      <alignment vertical="center"/>
    </xf>
    <xf numFmtId="43" fontId="108" fillId="0" borderId="0" applyFont="0" applyFill="0" applyBorder="0" applyAlignment="0" applyProtection="0"/>
    <xf numFmtId="0" fontId="103" fillId="0" borderId="0"/>
    <xf numFmtId="0" fontId="104" fillId="27" borderId="0" applyNumberFormat="0" applyBorder="0" applyAlignment="0" applyProtection="0"/>
    <xf numFmtId="0" fontId="104" fillId="27" borderId="0" applyNumberFormat="0" applyBorder="0" applyAlignment="0" applyProtection="0"/>
    <xf numFmtId="0" fontId="104" fillId="28" borderId="0" applyNumberFormat="0" applyBorder="0" applyAlignment="0" applyProtection="0"/>
    <xf numFmtId="0" fontId="104" fillId="28" borderId="0" applyNumberFormat="0" applyBorder="0" applyAlignment="0" applyProtection="0"/>
    <xf numFmtId="0" fontId="104" fillId="29" borderId="0" applyNumberFormat="0" applyBorder="0" applyAlignment="0" applyProtection="0"/>
    <xf numFmtId="0" fontId="104" fillId="29" borderId="0" applyNumberFormat="0" applyBorder="0" applyAlignment="0" applyProtection="0"/>
    <xf numFmtId="0" fontId="63" fillId="30" borderId="0" applyNumberFormat="0" applyBorder="0" applyAlignment="0" applyProtection="0">
      <alignment vertical="center"/>
    </xf>
    <xf numFmtId="0" fontId="43" fillId="30" borderId="0" applyNumberFormat="0" applyBorder="0" applyAlignment="0" applyProtection="0">
      <alignment vertical="center"/>
    </xf>
    <xf numFmtId="0" fontId="63" fillId="31" borderId="0" applyNumberFormat="0" applyBorder="0" applyAlignment="0" applyProtection="0">
      <alignment vertical="center"/>
    </xf>
    <xf numFmtId="0" fontId="43" fillId="31" borderId="0" applyNumberFormat="0" applyBorder="0" applyAlignment="0" applyProtection="0">
      <alignment vertical="center"/>
    </xf>
    <xf numFmtId="0" fontId="63" fillId="32" borderId="0" applyNumberFormat="0" applyBorder="0" applyAlignment="0" applyProtection="0">
      <alignment vertical="center"/>
    </xf>
    <xf numFmtId="0" fontId="43" fillId="32" borderId="0" applyNumberFormat="0" applyBorder="0" applyAlignment="0" applyProtection="0">
      <alignment vertical="center"/>
    </xf>
    <xf numFmtId="0" fontId="63" fillId="3" borderId="0" applyNumberFormat="0" applyBorder="0" applyAlignment="0" applyProtection="0">
      <alignment vertical="center"/>
    </xf>
    <xf numFmtId="0" fontId="43" fillId="3" borderId="0" applyNumberFormat="0" applyBorder="0" applyAlignment="0" applyProtection="0">
      <alignment vertical="center"/>
    </xf>
    <xf numFmtId="0" fontId="43" fillId="26" borderId="0" applyNumberFormat="0" applyBorder="0" applyAlignment="0" applyProtection="0">
      <alignment vertical="center"/>
    </xf>
    <xf numFmtId="0" fontId="58" fillId="0" borderId="7" applyNumberFormat="0" applyFill="0" applyProtection="0">
      <alignment horizontal="left"/>
    </xf>
    <xf numFmtId="0" fontId="105" fillId="20" borderId="0" applyNumberFormat="0" applyBorder="0" applyAlignment="0" applyProtection="0">
      <alignment vertical="center"/>
    </xf>
    <xf numFmtId="0" fontId="66" fillId="20" borderId="0" applyNumberFormat="0" applyBorder="0" applyAlignment="0" applyProtection="0">
      <alignment vertical="center"/>
    </xf>
    <xf numFmtId="0" fontId="106" fillId="11" borderId="19" applyNumberFormat="0" applyAlignment="0" applyProtection="0">
      <alignment vertical="center"/>
    </xf>
    <xf numFmtId="0" fontId="78" fillId="11" borderId="19" applyNumberFormat="0" applyAlignment="0" applyProtection="0">
      <alignment vertical="center"/>
    </xf>
    <xf numFmtId="1" fontId="58" fillId="0" borderId="12" applyFill="0" applyProtection="0">
      <alignment horizontal="center"/>
    </xf>
    <xf numFmtId="1" fontId="12" fillId="0" borderId="1">
      <alignment vertical="center"/>
      <protection locked="0"/>
    </xf>
    <xf numFmtId="1" fontId="12" fillId="0" borderId="1">
      <alignment vertical="center"/>
      <protection locked="0"/>
    </xf>
    <xf numFmtId="0" fontId="107" fillId="0" borderId="0"/>
    <xf numFmtId="0" fontId="15" fillId="0" borderId="0">
      <protection locked="0"/>
    </xf>
    <xf numFmtId="0" fontId="68" fillId="0" borderId="0"/>
    <xf numFmtId="43" fontId="108" fillId="0" borderId="0" applyFont="0" applyFill="0" applyBorder="0" applyAlignment="0" applyProtection="0"/>
    <xf numFmtId="41" fontId="108" fillId="0" borderId="0" applyFont="0" applyFill="0" applyBorder="0" applyAlignment="0" applyProtection="0"/>
    <xf numFmtId="0" fontId="108" fillId="14" borderId="20" applyNumberFormat="0" applyFont="0" applyAlignment="0" applyProtection="0">
      <alignment vertical="center"/>
    </xf>
    <xf numFmtId="0" fontId="108" fillId="14" borderId="20" applyNumberFormat="0" applyFont="0" applyAlignment="0" applyProtection="0">
      <alignment vertical="center"/>
    </xf>
    <xf numFmtId="0" fontId="108" fillId="14" borderId="20" applyNumberFormat="0" applyFont="0" applyAlignment="0" applyProtection="0">
      <alignment vertical="center"/>
    </xf>
    <xf numFmtId="38" fontId="108" fillId="0" borderId="0" applyFont="0" applyFill="0" applyBorder="0" applyAlignment="0" applyProtection="0"/>
    <xf numFmtId="40" fontId="108" fillId="0" borderId="0" applyFont="0" applyFill="0" applyBorder="0" applyAlignment="0" applyProtection="0"/>
    <xf numFmtId="0" fontId="108" fillId="0" borderId="0" applyFont="0" applyFill="0" applyBorder="0" applyAlignment="0" applyProtection="0"/>
  </cellStyleXfs>
  <cellXfs count="430">
    <xf numFmtId="0" fontId="0" fillId="0" borderId="0" xfId="0">
      <alignment vertical="center"/>
    </xf>
    <xf numFmtId="0" fontId="1" fillId="0" borderId="0" xfId="788" applyFont="1">
      <alignment vertical="center"/>
    </xf>
    <xf numFmtId="0" fontId="4" fillId="0" borderId="0" xfId="788" applyFont="1" applyBorder="1" applyAlignment="1">
      <alignment horizontal="left" vertical="center"/>
    </xf>
    <xf numFmtId="0" fontId="4" fillId="0" borderId="0" xfId="788" applyFont="1" applyBorder="1" applyAlignment="1">
      <alignment horizontal="center" vertical="center"/>
    </xf>
    <xf numFmtId="0" fontId="4" fillId="0" borderId="1" xfId="788" applyFont="1" applyBorder="1" applyAlignment="1">
      <alignment horizontal="left" vertical="center" wrapText="1"/>
    </xf>
    <xf numFmtId="0" fontId="4" fillId="0" borderId="1" xfId="788" applyFont="1" applyBorder="1" applyAlignment="1">
      <alignment horizontal="center" vertical="center"/>
    </xf>
    <xf numFmtId="183" fontId="4" fillId="0" borderId="1" xfId="788" applyNumberFormat="1" applyFont="1" applyBorder="1" applyAlignment="1">
      <alignment horizontal="center" vertical="center"/>
    </xf>
    <xf numFmtId="0" fontId="4" fillId="0" borderId="1" xfId="0" applyFont="1" applyBorder="1" applyAlignment="1">
      <alignment horizontal="justify" vertical="center" wrapText="1"/>
    </xf>
    <xf numFmtId="10" fontId="5" fillId="0" borderId="1" xfId="0" applyNumberFormat="1" applyFont="1" applyBorder="1" applyAlignment="1">
      <alignment horizontal="center" vertical="center" wrapText="1"/>
    </xf>
    <xf numFmtId="205" fontId="4" fillId="0" borderId="1" xfId="788" applyNumberFormat="1" applyFont="1" applyBorder="1">
      <alignment vertical="center"/>
    </xf>
    <xf numFmtId="195" fontId="5" fillId="0" borderId="1" xfId="0" applyNumberFormat="1" applyFont="1" applyBorder="1" applyAlignment="1">
      <alignment horizontal="center" vertical="center" wrapText="1"/>
    </xf>
    <xf numFmtId="0" fontId="6" fillId="0" borderId="0" xfId="0" applyFont="1" applyBorder="1" applyAlignment="1">
      <alignment horizontal="justify" vertical="center" wrapText="1"/>
    </xf>
    <xf numFmtId="0" fontId="3" fillId="0" borderId="0" xfId="788" applyFont="1" applyBorder="1">
      <alignment vertical="center"/>
    </xf>
    <xf numFmtId="0" fontId="4" fillId="0" borderId="1" xfId="788" applyFont="1" applyBorder="1" applyAlignment="1">
      <alignment horizontal="left" vertical="center"/>
    </xf>
    <xf numFmtId="0" fontId="8" fillId="0" borderId="0" xfId="788" applyFont="1">
      <alignment vertical="center"/>
    </xf>
    <xf numFmtId="0" fontId="4" fillId="0" borderId="0" xfId="788" applyFont="1">
      <alignment vertical="center"/>
    </xf>
    <xf numFmtId="31" fontId="4" fillId="0" borderId="0" xfId="788" applyNumberFormat="1" applyFont="1">
      <alignment vertical="center"/>
    </xf>
    <xf numFmtId="0" fontId="3" fillId="0" borderId="0" xfId="788" applyFont="1">
      <alignment vertical="center"/>
    </xf>
    <xf numFmtId="0" fontId="0" fillId="0" borderId="0" xfId="0" applyFill="1" applyBorder="1" applyAlignment="1">
      <alignment vertical="center"/>
    </xf>
    <xf numFmtId="0" fontId="10" fillId="0" borderId="1" xfId="771" applyFont="1" applyBorder="1" applyAlignment="1">
      <alignment horizontal="center" vertical="center"/>
    </xf>
    <xf numFmtId="0" fontId="11" fillId="0" borderId="1" xfId="771" applyFont="1" applyBorder="1" applyAlignment="1">
      <alignment horizontal="center" vertical="center"/>
    </xf>
    <xf numFmtId="0" fontId="14" fillId="0" borderId="0" xfId="766" applyFont="1">
      <alignment vertical="center"/>
    </xf>
    <xf numFmtId="0" fontId="14" fillId="0" borderId="0" xfId="766" applyFont="1" applyAlignment="1">
      <alignment horizontal="center" vertical="center"/>
    </xf>
    <xf numFmtId="0" fontId="15" fillId="0" borderId="0" xfId="766" applyFont="1">
      <alignment vertical="center"/>
    </xf>
    <xf numFmtId="0" fontId="12" fillId="0" borderId="1" xfId="766" applyFont="1" applyBorder="1" applyAlignment="1">
      <alignment horizontal="center" vertical="center"/>
    </xf>
    <xf numFmtId="0" fontId="12" fillId="0" borderId="1" xfId="766" applyFont="1" applyBorder="1" applyAlignment="1">
      <alignment horizontal="center" vertical="center" wrapText="1"/>
    </xf>
    <xf numFmtId="0" fontId="15" fillId="0" borderId="0" xfId="766" applyFont="1" applyAlignment="1">
      <alignment horizontal="left" vertical="center"/>
    </xf>
    <xf numFmtId="0" fontId="0" fillId="0" borderId="0" xfId="0" applyAlignment="1">
      <alignment vertical="center" wrapText="1"/>
    </xf>
    <xf numFmtId="0" fontId="0" fillId="0" borderId="0" xfId="0" applyAlignment="1">
      <alignment horizontal="left" vertical="center" wrapText="1"/>
    </xf>
    <xf numFmtId="0" fontId="0" fillId="0" borderId="0" xfId="0" applyFont="1" applyAlignment="1">
      <alignment horizontal="left" vertical="center" wrapText="1"/>
    </xf>
    <xf numFmtId="0" fontId="0" fillId="0" borderId="1" xfId="0" applyBorder="1" applyAlignment="1">
      <alignment horizontal="center" vertical="center" wrapText="1"/>
    </xf>
    <xf numFmtId="0" fontId="0" fillId="0" borderId="1" xfId="0" applyFont="1" applyBorder="1" applyAlignment="1">
      <alignment horizontal="center" vertical="center"/>
    </xf>
    <xf numFmtId="0" fontId="0" fillId="0" borderId="1" xfId="0" applyFont="1" applyBorder="1" applyAlignment="1">
      <alignment horizontal="center" vertical="center" wrapText="1"/>
    </xf>
    <xf numFmtId="0" fontId="21" fillId="0" borderId="1" xfId="0" applyFont="1" applyBorder="1" applyAlignment="1">
      <alignment horizontal="center" vertical="center"/>
    </xf>
    <xf numFmtId="0" fontId="0" fillId="0" borderId="0" xfId="0" applyFont="1" applyAlignment="1">
      <alignment horizontal="center" vertical="center" wrapText="1"/>
    </xf>
    <xf numFmtId="0" fontId="0" fillId="0" borderId="0" xfId="0" applyFont="1">
      <alignment vertical="center"/>
    </xf>
    <xf numFmtId="195" fontId="0" fillId="0" borderId="0" xfId="0" applyNumberFormat="1">
      <alignment vertical="center"/>
    </xf>
    <xf numFmtId="195" fontId="23" fillId="0" borderId="5" xfId="0" applyNumberFormat="1" applyFont="1" applyBorder="1" applyAlignment="1">
      <alignment horizontal="left" vertical="center" wrapText="1"/>
    </xf>
    <xf numFmtId="0" fontId="23" fillId="0" borderId="5" xfId="0" applyFont="1" applyBorder="1" applyAlignment="1">
      <alignment horizontal="right" vertical="center"/>
    </xf>
    <xf numFmtId="0" fontId="23" fillId="0" borderId="1" xfId="0" applyFont="1" applyBorder="1" applyAlignment="1">
      <alignment horizontal="center" vertical="center" wrapText="1"/>
    </xf>
    <xf numFmtId="0" fontId="23" fillId="0" borderId="1" xfId="0" applyFont="1" applyBorder="1" applyAlignment="1" applyProtection="1">
      <alignment horizontal="center" vertical="center" wrapText="1"/>
      <protection locked="0"/>
    </xf>
    <xf numFmtId="195" fontId="23" fillId="0" borderId="1" xfId="0" applyNumberFormat="1" applyFont="1" applyBorder="1" applyAlignment="1" applyProtection="1">
      <alignment horizontal="center" vertical="center" wrapText="1"/>
      <protection locked="0"/>
    </xf>
    <xf numFmtId="0" fontId="24" fillId="0" borderId="1" xfId="0" applyFont="1" applyBorder="1" applyAlignment="1" applyProtection="1">
      <alignment horizontal="center" vertical="center"/>
      <protection locked="0"/>
    </xf>
    <xf numFmtId="0" fontId="12" fillId="0" borderId="0" xfId="0" applyFont="1" applyProtection="1">
      <alignment vertical="center"/>
      <protection locked="0"/>
    </xf>
    <xf numFmtId="0" fontId="0" fillId="0" borderId="0" xfId="0" applyAlignment="1">
      <alignment horizontal="center" vertical="center"/>
    </xf>
    <xf numFmtId="0" fontId="0" fillId="0" borderId="1" xfId="0" applyFont="1" applyBorder="1" applyAlignment="1" applyProtection="1">
      <alignment horizontal="center" vertical="center"/>
      <protection locked="0"/>
    </xf>
    <xf numFmtId="0" fontId="0" fillId="0" borderId="0" xfId="0" applyProtection="1">
      <alignment vertical="center"/>
      <protection locked="0"/>
    </xf>
    <xf numFmtId="0" fontId="108" fillId="0" borderId="0" xfId="766">
      <alignment vertical="center"/>
    </xf>
    <xf numFmtId="0" fontId="108" fillId="0" borderId="1" xfId="766" applyBorder="1" applyAlignment="1">
      <alignment horizontal="center" vertical="center"/>
    </xf>
    <xf numFmtId="0" fontId="0" fillId="0" borderId="0" xfId="0" applyFont="1" applyFill="1" applyBorder="1" applyAlignment="1">
      <alignment vertical="center"/>
    </xf>
    <xf numFmtId="0" fontId="28" fillId="0" borderId="0" xfId="0" applyFont="1" applyFill="1" applyBorder="1" applyAlignment="1">
      <alignment vertical="center"/>
    </xf>
    <xf numFmtId="0" fontId="28" fillId="0" borderId="0" xfId="0" applyFont="1" applyFill="1" applyBorder="1" applyAlignment="1">
      <alignment vertical="center" wrapText="1"/>
    </xf>
    <xf numFmtId="0" fontId="0" fillId="0" borderId="8" xfId="0" applyFont="1" applyFill="1" applyBorder="1" applyAlignment="1">
      <alignment vertical="center"/>
    </xf>
    <xf numFmtId="0" fontId="0" fillId="0" borderId="8" xfId="0" applyFont="1" applyFill="1" applyBorder="1" applyAlignment="1">
      <alignment horizontal="center" vertical="center"/>
    </xf>
    <xf numFmtId="0" fontId="0" fillId="0" borderId="1" xfId="0" applyFont="1" applyFill="1" applyBorder="1" applyAlignment="1">
      <alignment horizontal="center" vertical="center" wrapText="1"/>
    </xf>
    <xf numFmtId="0" fontId="0" fillId="0" borderId="4" xfId="0" applyFont="1" applyFill="1" applyBorder="1" applyAlignment="1">
      <alignment vertical="center"/>
    </xf>
    <xf numFmtId="0" fontId="0" fillId="0" borderId="4" xfId="0" applyFont="1" applyFill="1" applyBorder="1" applyAlignment="1">
      <alignment vertical="center" wrapText="1"/>
    </xf>
    <xf numFmtId="0" fontId="0" fillId="0" borderId="0" xfId="0" applyAlignment="1">
      <alignment horizontal="left" vertical="center"/>
    </xf>
    <xf numFmtId="0" fontId="23" fillId="0" borderId="1" xfId="0" applyFont="1" applyBorder="1" applyAlignment="1">
      <alignment horizontal="center" vertical="center"/>
    </xf>
    <xf numFmtId="31" fontId="28" fillId="0" borderId="4" xfId="0" applyNumberFormat="1" applyFont="1" applyFill="1" applyBorder="1" applyAlignment="1">
      <alignment horizontal="right" vertical="center"/>
    </xf>
    <xf numFmtId="10" fontId="0" fillId="0" borderId="0" xfId="0" applyNumberFormat="1">
      <alignment vertical="center"/>
    </xf>
    <xf numFmtId="205" fontId="0" fillId="0" borderId="0" xfId="0" applyNumberFormat="1">
      <alignment vertical="center"/>
    </xf>
    <xf numFmtId="0" fontId="28" fillId="0" borderId="1" xfId="0" applyFont="1" applyBorder="1" applyAlignment="1">
      <alignment horizontal="center" vertical="center" wrapText="1"/>
    </xf>
    <xf numFmtId="0" fontId="0" fillId="0" borderId="1" xfId="0" applyBorder="1" applyAlignment="1" applyProtection="1">
      <alignment vertical="center" wrapText="1"/>
      <protection locked="0"/>
    </xf>
    <xf numFmtId="210" fontId="12" fillId="0" borderId="1" xfId="0" applyNumberFormat="1" applyFont="1" applyFill="1" applyBorder="1" applyAlignment="1" applyProtection="1">
      <alignment horizontal="center" vertical="center" wrapText="1"/>
      <protection locked="0"/>
    </xf>
    <xf numFmtId="0" fontId="28" fillId="0" borderId="1" xfId="0" applyFont="1" applyBorder="1" applyAlignment="1">
      <alignment horizontal="center" vertical="center"/>
    </xf>
    <xf numFmtId="0" fontId="0" fillId="0" borderId="1" xfId="0" applyFont="1" applyBorder="1" applyAlignment="1" applyProtection="1">
      <alignment horizontal="center" vertical="center" wrapText="1"/>
      <protection locked="0"/>
    </xf>
    <xf numFmtId="10" fontId="28" fillId="0" borderId="7" xfId="0" applyNumberFormat="1" applyFont="1" applyBorder="1" applyAlignment="1">
      <alignment horizontal="center" vertical="center" wrapText="1"/>
    </xf>
    <xf numFmtId="205" fontId="28" fillId="0" borderId="7" xfId="0" applyNumberFormat="1" applyFont="1" applyBorder="1" applyAlignment="1">
      <alignment horizontal="center" vertical="center" wrapText="1"/>
    </xf>
    <xf numFmtId="205" fontId="28" fillId="0" borderId="1" xfId="0" applyNumberFormat="1" applyFont="1" applyBorder="1" applyAlignment="1">
      <alignment horizontal="center" vertical="center" wrapText="1"/>
    </xf>
    <xf numFmtId="0" fontId="0" fillId="0" borderId="1" xfId="0" applyBorder="1">
      <alignment vertical="center"/>
    </xf>
    <xf numFmtId="0" fontId="23" fillId="0" borderId="0" xfId="0" applyFont="1">
      <alignment vertical="center"/>
    </xf>
    <xf numFmtId="31" fontId="23" fillId="0" borderId="1" xfId="0" applyNumberFormat="1" applyFont="1" applyFill="1" applyBorder="1" applyAlignment="1">
      <alignment horizontal="center" vertical="center" wrapText="1"/>
    </xf>
    <xf numFmtId="0" fontId="23" fillId="0" borderId="1" xfId="0" applyFont="1" applyFill="1" applyBorder="1" applyAlignment="1">
      <alignment horizontal="center" vertical="center"/>
    </xf>
    <xf numFmtId="0" fontId="12" fillId="0" borderId="1" xfId="770" applyFont="1" applyBorder="1" applyAlignment="1">
      <alignment horizontal="center" vertical="center"/>
    </xf>
    <xf numFmtId="0" fontId="35" fillId="0" borderId="1" xfId="770" applyFont="1" applyBorder="1" applyAlignment="1">
      <alignment vertical="center" wrapText="1"/>
    </xf>
    <xf numFmtId="0" fontId="12" fillId="0" borderId="1" xfId="770" applyFont="1" applyBorder="1">
      <alignment vertical="center"/>
    </xf>
    <xf numFmtId="0" fontId="0" fillId="0" borderId="1" xfId="0" applyFill="1" applyBorder="1" applyAlignment="1">
      <alignment vertical="center"/>
    </xf>
    <xf numFmtId="0" fontId="35" fillId="0" borderId="1" xfId="770" applyFont="1" applyBorder="1" applyAlignment="1">
      <alignment horizontal="center" vertical="center" wrapText="1"/>
    </xf>
    <xf numFmtId="0" fontId="35" fillId="0" borderId="1" xfId="770" applyFont="1" applyBorder="1" applyAlignment="1">
      <alignment horizontal="center" vertical="center"/>
    </xf>
    <xf numFmtId="0" fontId="0" fillId="0" borderId="1" xfId="0" applyFill="1" applyBorder="1" applyAlignment="1">
      <alignment horizontal="center" vertical="center"/>
    </xf>
    <xf numFmtId="49" fontId="0" fillId="0" borderId="1" xfId="0" applyNumberFormat="1" applyFill="1" applyBorder="1" applyAlignment="1">
      <alignment horizontal="center" vertical="center"/>
    </xf>
    <xf numFmtId="49" fontId="0" fillId="0" borderId="1" xfId="0" applyNumberFormat="1" applyFont="1" applyFill="1" applyBorder="1" applyAlignment="1">
      <alignment horizontal="center" vertical="center" wrapText="1"/>
    </xf>
    <xf numFmtId="14" fontId="0" fillId="0" borderId="1" xfId="0" applyNumberFormat="1" applyFill="1" applyBorder="1" applyAlignment="1">
      <alignment horizontal="center" vertical="center"/>
    </xf>
    <xf numFmtId="0" fontId="0" fillId="0" borderId="1" xfId="0" applyFont="1" applyFill="1" applyBorder="1" applyAlignment="1">
      <alignment vertical="center"/>
    </xf>
    <xf numFmtId="49" fontId="0" fillId="0" borderId="1" xfId="0" applyNumberFormat="1" applyFont="1" applyFill="1" applyBorder="1" applyAlignment="1">
      <alignment vertical="center"/>
    </xf>
    <xf numFmtId="49" fontId="0" fillId="0" borderId="1" xfId="0" applyNumberFormat="1" applyFont="1" applyFill="1" applyBorder="1" applyAlignment="1">
      <alignment vertical="center" wrapText="1"/>
    </xf>
    <xf numFmtId="0" fontId="0" fillId="0" borderId="1" xfId="0" applyFont="1" applyFill="1" applyBorder="1" applyAlignment="1">
      <alignment vertical="center" wrapText="1"/>
    </xf>
    <xf numFmtId="14" fontId="0" fillId="0" borderId="1" xfId="0" applyNumberFormat="1" applyFill="1" applyBorder="1" applyAlignment="1">
      <alignment vertical="center"/>
    </xf>
    <xf numFmtId="0" fontId="3" fillId="0" borderId="0" xfId="0" applyFont="1" applyFill="1" applyBorder="1" applyAlignment="1">
      <alignment horizontal="center" vertical="center"/>
    </xf>
    <xf numFmtId="0" fontId="37" fillId="0" borderId="0" xfId="0" applyFont="1" applyFill="1" applyBorder="1" applyAlignment="1">
      <alignment horizontal="center" vertical="center" wrapText="1"/>
    </xf>
    <xf numFmtId="0" fontId="3" fillId="0" borderId="1" xfId="0" applyFont="1" applyFill="1" applyBorder="1" applyAlignment="1">
      <alignment horizontal="center" vertical="center" wrapText="1"/>
    </xf>
    <xf numFmtId="0" fontId="0" fillId="0" borderId="1" xfId="0" applyFill="1" applyBorder="1" applyAlignment="1">
      <alignment horizontal="center" vertical="center" wrapText="1"/>
    </xf>
    <xf numFmtId="0" fontId="28" fillId="0" borderId="1" xfId="0" applyFont="1" applyFill="1" applyBorder="1" applyAlignment="1" applyProtection="1">
      <alignment horizontal="center" vertical="center" wrapText="1"/>
      <protection locked="0"/>
    </xf>
    <xf numFmtId="0" fontId="0" fillId="0" borderId="1" xfId="0" applyFill="1" applyBorder="1" applyAlignment="1">
      <alignment vertical="center" wrapText="1"/>
    </xf>
    <xf numFmtId="0" fontId="28" fillId="0" borderId="1" xfId="0" applyFont="1" applyFill="1" applyBorder="1" applyAlignment="1" applyProtection="1">
      <alignment horizontal="center" vertical="center"/>
      <protection locked="0"/>
    </xf>
    <xf numFmtId="188" fontId="0" fillId="0" borderId="0" xfId="0" applyNumberFormat="1" applyFont="1" applyAlignment="1">
      <alignment horizontal="left" vertical="center" wrapText="1"/>
    </xf>
    <xf numFmtId="0" fontId="29" fillId="0" borderId="0" xfId="0" applyFont="1" applyAlignment="1">
      <alignment horizontal="left" vertical="center" wrapText="1"/>
    </xf>
    <xf numFmtId="205" fontId="0" fillId="0" borderId="0" xfId="0" applyNumberFormat="1" applyAlignment="1">
      <alignment horizontal="left" vertical="center" wrapText="1"/>
    </xf>
    <xf numFmtId="205" fontId="0" fillId="0" borderId="0" xfId="0" applyNumberFormat="1" applyFont="1" applyAlignment="1">
      <alignment horizontal="left" vertical="center" wrapText="1"/>
    </xf>
    <xf numFmtId="205" fontId="0" fillId="0" borderId="0" xfId="0" applyNumberFormat="1" applyFont="1" applyAlignment="1">
      <alignment horizontal="left" vertical="center"/>
    </xf>
    <xf numFmtId="0" fontId="0" fillId="0" borderId="1" xfId="0" applyBorder="1" applyAlignment="1">
      <alignment horizontal="center" vertical="center"/>
    </xf>
    <xf numFmtId="0" fontId="0" fillId="0" borderId="1" xfId="0" applyFont="1" applyBorder="1" applyAlignment="1" applyProtection="1">
      <alignment vertical="center" wrapText="1"/>
      <protection locked="0"/>
    </xf>
    <xf numFmtId="194" fontId="23" fillId="0" borderId="1" xfId="0" applyNumberFormat="1" applyFont="1" applyBorder="1" applyAlignment="1">
      <alignment horizontal="center" vertical="center" wrapText="1"/>
    </xf>
    <xf numFmtId="0" fontId="108" fillId="0" borderId="0" xfId="0" applyFont="1" applyAlignment="1">
      <alignment horizontal="left" vertical="center" wrapText="1"/>
    </xf>
    <xf numFmtId="188" fontId="108" fillId="0" borderId="0" xfId="0" applyNumberFormat="1" applyFont="1" applyAlignment="1">
      <alignment horizontal="left" vertical="center"/>
    </xf>
    <xf numFmtId="0" fontId="108" fillId="0" borderId="1" xfId="0" applyFont="1" applyBorder="1" applyAlignment="1" applyProtection="1">
      <alignment vertical="center" wrapText="1"/>
      <protection locked="0"/>
    </xf>
    <xf numFmtId="205" fontId="108" fillId="0" borderId="0" xfId="0" applyNumberFormat="1" applyFont="1" applyAlignment="1">
      <alignment horizontal="left" vertical="center" wrapText="1"/>
    </xf>
    <xf numFmtId="205" fontId="108" fillId="0" borderId="0" xfId="0" applyNumberFormat="1" applyFont="1" applyAlignment="1">
      <alignment horizontal="left" vertical="center"/>
    </xf>
    <xf numFmtId="0" fontId="0" fillId="0" borderId="0" xfId="0" applyNumberFormat="1" applyFont="1" applyAlignment="1">
      <alignment horizontal="left" vertical="center"/>
    </xf>
    <xf numFmtId="183" fontId="108" fillId="0" borderId="0" xfId="0" applyNumberFormat="1" applyFont="1" applyAlignment="1">
      <alignment horizontal="left" vertical="center"/>
    </xf>
    <xf numFmtId="0" fontId="29" fillId="0" borderId="1" xfId="0" applyFont="1" applyFill="1" applyBorder="1" applyAlignment="1">
      <alignment horizontal="center" vertical="center"/>
    </xf>
    <xf numFmtId="0" fontId="108" fillId="0" borderId="1" xfId="0" applyFont="1" applyFill="1" applyBorder="1" applyAlignment="1">
      <alignment horizontal="center" vertical="center" wrapText="1"/>
    </xf>
    <xf numFmtId="0" fontId="108" fillId="0" borderId="1" xfId="0" applyFont="1" applyFill="1" applyBorder="1" applyAlignment="1">
      <alignment horizontal="justify" vertical="center" wrapText="1"/>
    </xf>
    <xf numFmtId="0" fontId="108" fillId="0" borderId="1" xfId="0" applyFont="1" applyFill="1" applyBorder="1" applyAlignment="1">
      <alignment horizontal="center" vertical="center" wrapText="1" indent="1"/>
    </xf>
    <xf numFmtId="0" fontId="28" fillId="0" borderId="0" xfId="0" applyFont="1" applyBorder="1" applyAlignment="1">
      <alignment horizontal="left" vertical="center" wrapText="1"/>
    </xf>
    <xf numFmtId="0" fontId="108" fillId="0" borderId="0" xfId="766" applyFont="1" applyFill="1" applyBorder="1" applyAlignment="1">
      <alignment vertical="center"/>
    </xf>
    <xf numFmtId="0" fontId="108" fillId="0" borderId="0" xfId="766" applyFill="1" applyBorder="1" applyAlignment="1">
      <alignment vertical="center"/>
    </xf>
    <xf numFmtId="0" fontId="34" fillId="0" borderId="0" xfId="766" applyFont="1" applyAlignment="1">
      <alignment horizontal="left" vertical="center"/>
    </xf>
    <xf numFmtId="0" fontId="28" fillId="0" borderId="0" xfId="766" applyFont="1" applyFill="1" applyBorder="1" applyAlignment="1">
      <alignment vertical="center"/>
    </xf>
    <xf numFmtId="0" fontId="31" fillId="0" borderId="1" xfId="766" applyFont="1" applyBorder="1" applyAlignment="1">
      <alignment horizontal="center" vertical="center"/>
    </xf>
    <xf numFmtId="0" fontId="31" fillId="0" borderId="1" xfId="766" applyFont="1" applyBorder="1" applyAlignment="1">
      <alignment horizontal="left" vertical="center" wrapText="1"/>
    </xf>
    <xf numFmtId="0" fontId="31" fillId="0" borderId="1" xfId="766" applyFont="1" applyBorder="1">
      <alignment vertical="center"/>
    </xf>
    <xf numFmtId="0" fontId="31" fillId="0" borderId="0" xfId="766" applyFont="1" applyAlignment="1">
      <alignment horizontal="left" vertical="center"/>
    </xf>
    <xf numFmtId="0" fontId="31" fillId="0" borderId="0" xfId="766" applyFont="1" applyAlignment="1">
      <alignment horizontal="center" vertical="center"/>
    </xf>
    <xf numFmtId="0" fontId="31" fillId="0" borderId="0" xfId="766" applyFont="1">
      <alignment vertical="center"/>
    </xf>
    <xf numFmtId="0" fontId="31" fillId="0" borderId="0" xfId="766" applyFont="1" applyAlignment="1">
      <alignment vertical="center" wrapText="1"/>
    </xf>
    <xf numFmtId="0" fontId="108" fillId="0" borderId="0" xfId="766" applyAlignment="1">
      <alignment horizontal="left" vertical="center"/>
    </xf>
    <xf numFmtId="0" fontId="108" fillId="0" borderId="0" xfId="766" applyAlignment="1">
      <alignment horizontal="center" vertical="center"/>
    </xf>
    <xf numFmtId="0" fontId="108" fillId="0" borderId="0" xfId="766" applyAlignment="1">
      <alignment vertical="center" wrapText="1"/>
    </xf>
    <xf numFmtId="0" fontId="31" fillId="0" borderId="1" xfId="766" applyFont="1" applyBorder="1" applyAlignment="1">
      <alignment horizontal="center" vertical="center" wrapText="1"/>
    </xf>
    <xf numFmtId="211" fontId="31" fillId="0" borderId="8" xfId="766" applyNumberFormat="1" applyFont="1" applyBorder="1" applyAlignment="1">
      <alignment horizontal="center" vertical="center"/>
    </xf>
    <xf numFmtId="0" fontId="31" fillId="0" borderId="8" xfId="766" applyFont="1" applyBorder="1" applyAlignment="1">
      <alignment horizontal="center" vertical="center"/>
    </xf>
    <xf numFmtId="31" fontId="108" fillId="0" borderId="0" xfId="766" applyNumberFormat="1" applyFont="1" applyFill="1" applyBorder="1" applyAlignment="1">
      <alignment horizontal="center" wrapText="1"/>
    </xf>
    <xf numFmtId="31" fontId="108" fillId="0" borderId="0" xfId="766" applyNumberFormat="1" applyFont="1" applyFill="1" applyAlignment="1">
      <alignment horizontal="center" wrapText="1"/>
    </xf>
    <xf numFmtId="0" fontId="0" fillId="0" borderId="1" xfId="787" applyFont="1" applyBorder="1" applyAlignment="1">
      <alignment horizontal="center" vertical="center" wrapText="1"/>
    </xf>
    <xf numFmtId="0" fontId="0" fillId="0" borderId="8" xfId="787" applyFont="1" applyBorder="1" applyAlignment="1">
      <alignment horizontal="center" vertical="center" wrapText="1"/>
    </xf>
    <xf numFmtId="0" fontId="108" fillId="0" borderId="1" xfId="787" applyFont="1" applyBorder="1" applyAlignment="1">
      <alignment horizontal="left" vertical="center" wrapText="1"/>
    </xf>
    <xf numFmtId="0" fontId="0" fillId="0" borderId="1" xfId="787" applyFont="1" applyBorder="1"/>
    <xf numFmtId="0" fontId="108" fillId="0" borderId="0" xfId="766" applyBorder="1" applyAlignment="1">
      <alignment horizontal="left" vertical="center" wrapText="1"/>
    </xf>
    <xf numFmtId="0" fontId="108" fillId="0" borderId="0" xfId="766" applyBorder="1" applyAlignment="1">
      <alignment horizontal="center" vertical="center" wrapText="1"/>
    </xf>
    <xf numFmtId="211" fontId="31" fillId="0" borderId="1" xfId="766" applyNumberFormat="1" applyFont="1" applyBorder="1" applyAlignment="1">
      <alignment horizontal="center" vertical="center"/>
    </xf>
    <xf numFmtId="0" fontId="108" fillId="0" borderId="1" xfId="766" applyBorder="1" applyAlignment="1">
      <alignment horizontal="center" vertical="center" wrapText="1"/>
    </xf>
    <xf numFmtId="210" fontId="108" fillId="0" borderId="1" xfId="766" applyNumberFormat="1" applyBorder="1" applyAlignment="1">
      <alignment horizontal="center" vertical="center"/>
    </xf>
    <xf numFmtId="0" fontId="29" fillId="0" borderId="1" xfId="766" applyFont="1" applyBorder="1" applyAlignment="1">
      <alignment horizontal="center" vertical="center"/>
    </xf>
    <xf numFmtId="0" fontId="108" fillId="0" borderId="0" xfId="766" applyFont="1" applyFill="1" applyBorder="1" applyAlignment="1">
      <alignment horizontal="center" vertical="center" wrapText="1"/>
    </xf>
    <xf numFmtId="212" fontId="34" fillId="0" borderId="0" xfId="766" applyNumberFormat="1" applyFont="1" applyFill="1" applyBorder="1" applyAlignment="1">
      <alignment vertical="center"/>
    </xf>
    <xf numFmtId="205" fontId="108" fillId="0" borderId="0" xfId="766" applyNumberFormat="1" applyFont="1" applyFill="1" applyBorder="1" applyAlignment="1">
      <alignment vertical="center" wrapText="1"/>
    </xf>
    <xf numFmtId="0" fontId="108" fillId="0" borderId="0" xfId="766" applyFont="1" applyFill="1" applyBorder="1" applyAlignment="1">
      <alignment vertical="center" wrapText="1"/>
    </xf>
    <xf numFmtId="205" fontId="108" fillId="0" borderId="0" xfId="766" applyNumberFormat="1" applyFont="1" applyFill="1" applyAlignment="1">
      <alignment vertical="center" wrapText="1"/>
    </xf>
    <xf numFmtId="0" fontId="108" fillId="0" borderId="0" xfId="766" applyFont="1" applyFill="1" applyAlignment="1">
      <alignment vertical="center" wrapText="1"/>
    </xf>
    <xf numFmtId="205" fontId="108" fillId="0" borderId="1" xfId="766" applyNumberFormat="1" applyBorder="1" applyAlignment="1">
      <alignment horizontal="center" vertical="center" wrapText="1"/>
    </xf>
    <xf numFmtId="205" fontId="108" fillId="0" borderId="1" xfId="766" applyNumberFormat="1" applyBorder="1" applyAlignment="1">
      <alignment horizontal="center" vertical="center"/>
    </xf>
    <xf numFmtId="205" fontId="108" fillId="0" borderId="0" xfId="766" applyNumberFormat="1" applyAlignment="1">
      <alignment horizontal="center" vertical="center"/>
    </xf>
    <xf numFmtId="0" fontId="108" fillId="0" borderId="1" xfId="766" applyFill="1" applyBorder="1" applyAlignment="1">
      <alignment horizontal="center" vertical="center" wrapText="1"/>
    </xf>
    <xf numFmtId="0" fontId="108" fillId="0" borderId="0" xfId="766" applyFill="1" applyBorder="1" applyAlignment="1">
      <alignment horizontal="right" vertical="center"/>
    </xf>
    <xf numFmtId="10" fontId="28" fillId="0" borderId="1" xfId="0" applyNumberFormat="1" applyFont="1" applyBorder="1" applyAlignment="1">
      <alignment horizontal="center" vertical="center" wrapText="1"/>
    </xf>
    <xf numFmtId="0" fontId="108" fillId="0" borderId="1" xfId="0" applyFont="1" applyBorder="1" applyAlignment="1">
      <alignment horizontal="center" vertical="center" wrapText="1"/>
    </xf>
    <xf numFmtId="0" fontId="108" fillId="0" borderId="0" xfId="0" applyFont="1">
      <alignment vertical="center"/>
    </xf>
    <xf numFmtId="0" fontId="25" fillId="0" borderId="0" xfId="0" applyFont="1" applyBorder="1" applyAlignment="1">
      <alignment horizontal="center" vertical="center" wrapText="1"/>
    </xf>
    <xf numFmtId="0" fontId="28" fillId="0" borderId="0" xfId="0" applyFont="1" applyBorder="1" applyAlignment="1">
      <alignment horizontal="center" vertical="center" wrapText="1"/>
    </xf>
    <xf numFmtId="0" fontId="28" fillId="0" borderId="1" xfId="0" applyFont="1" applyFill="1" applyBorder="1" applyAlignment="1">
      <alignment horizontal="center" vertical="center" wrapText="1"/>
    </xf>
    <xf numFmtId="0" fontId="29" fillId="0" borderId="1" xfId="0" applyFont="1" applyBorder="1" applyAlignment="1" applyProtection="1">
      <alignment vertical="center" wrapText="1"/>
      <protection locked="0"/>
    </xf>
    <xf numFmtId="0" fontId="23" fillId="0" borderId="5" xfId="0" applyNumberFormat="1" applyFont="1" applyBorder="1" applyAlignment="1">
      <alignment horizontal="left" vertical="center" wrapText="1"/>
    </xf>
    <xf numFmtId="0" fontId="108" fillId="0" borderId="0" xfId="766" applyProtection="1">
      <alignment vertical="center"/>
      <protection locked="0"/>
    </xf>
    <xf numFmtId="0" fontId="12" fillId="0" borderId="0" xfId="766" applyFont="1" applyProtection="1">
      <alignment vertical="center"/>
      <protection locked="0"/>
    </xf>
    <xf numFmtId="0" fontId="12" fillId="0" borderId="0" xfId="766" applyFont="1" applyBorder="1" applyAlignment="1">
      <alignment horizontal="left" vertical="center"/>
    </xf>
    <xf numFmtId="0" fontId="35" fillId="0" borderId="1" xfId="766" applyFont="1" applyBorder="1" applyAlignment="1" applyProtection="1">
      <alignment horizontal="center" vertical="center" wrapText="1"/>
      <protection locked="0"/>
    </xf>
    <xf numFmtId="210" fontId="35" fillId="0" borderId="1" xfId="766" applyNumberFormat="1" applyFont="1" applyBorder="1" applyAlignment="1" applyProtection="1">
      <alignment horizontal="center" vertical="center" wrapText="1"/>
      <protection locked="0"/>
    </xf>
    <xf numFmtId="205" fontId="35" fillId="0" borderId="1" xfId="766" applyNumberFormat="1" applyFont="1" applyBorder="1" applyAlignment="1" applyProtection="1">
      <alignment horizontal="center" vertical="center" wrapText="1"/>
      <protection locked="0"/>
    </xf>
    <xf numFmtId="0" fontId="30" fillId="0" borderId="0" xfId="766" applyFont="1" applyBorder="1" applyAlignment="1" applyProtection="1">
      <alignment horizontal="center" vertical="center" wrapText="1"/>
      <protection locked="0"/>
    </xf>
    <xf numFmtId="0" fontId="108" fillId="0" borderId="1" xfId="766" applyBorder="1" applyAlignment="1" applyProtection="1">
      <alignment vertical="center"/>
      <protection locked="0"/>
    </xf>
    <xf numFmtId="10" fontId="28" fillId="0" borderId="1" xfId="766" applyNumberFormat="1" applyFont="1" applyBorder="1" applyAlignment="1">
      <alignment horizontal="center" vertical="center" wrapText="1"/>
    </xf>
    <xf numFmtId="0" fontId="30" fillId="0" borderId="0" xfId="766" applyFont="1" applyAlignment="1" applyProtection="1">
      <alignment horizontal="center" vertical="center" wrapText="1"/>
      <protection locked="0"/>
    </xf>
    <xf numFmtId="0" fontId="108" fillId="0" borderId="0" xfId="766" applyFont="1" applyBorder="1" applyAlignment="1" applyProtection="1">
      <alignment horizontal="center" vertical="center"/>
      <protection locked="0"/>
    </xf>
    <xf numFmtId="0" fontId="108" fillId="0" borderId="0" xfId="766" applyBorder="1" applyAlignment="1" applyProtection="1">
      <alignment vertical="center"/>
      <protection locked="0"/>
    </xf>
    <xf numFmtId="0" fontId="108" fillId="0" borderId="0" xfId="766" applyBorder="1" applyAlignment="1" applyProtection="1">
      <alignment horizontal="center" vertical="center"/>
      <protection locked="0"/>
    </xf>
    <xf numFmtId="210" fontId="108" fillId="0" borderId="0" xfId="766" applyNumberFormat="1" applyBorder="1" applyAlignment="1">
      <alignment horizontal="center" vertical="center" wrapText="1"/>
    </xf>
    <xf numFmtId="10" fontId="108" fillId="0" borderId="0" xfId="766" applyNumberFormat="1" applyFont="1" applyBorder="1" applyAlignment="1" applyProtection="1">
      <alignment horizontal="center" vertical="center"/>
      <protection locked="0"/>
    </xf>
    <xf numFmtId="205" fontId="108" fillId="0" borderId="0" xfId="766" applyNumberFormat="1" applyFont="1" applyBorder="1" applyAlignment="1" applyProtection="1">
      <alignment horizontal="center" vertical="center" wrapText="1"/>
      <protection locked="0"/>
    </xf>
    <xf numFmtId="0" fontId="108" fillId="0" borderId="0" xfId="766" applyFont="1">
      <alignment vertical="center"/>
    </xf>
    <xf numFmtId="210" fontId="12" fillId="0" borderId="0" xfId="766" applyNumberFormat="1" applyFont="1" applyBorder="1" applyAlignment="1">
      <alignment horizontal="left" vertical="center"/>
    </xf>
    <xf numFmtId="205" fontId="108" fillId="0" borderId="0" xfId="766" applyNumberFormat="1">
      <alignment vertical="center"/>
    </xf>
    <xf numFmtId="210" fontId="108" fillId="0" borderId="0" xfId="766" applyNumberFormat="1">
      <alignment vertical="center"/>
    </xf>
    <xf numFmtId="0" fontId="108" fillId="0" borderId="0" xfId="766" applyAlignment="1">
      <alignment horizontal="center" vertical="center" wrapText="1"/>
    </xf>
    <xf numFmtId="0" fontId="108" fillId="0" borderId="1" xfId="766" applyFont="1" applyBorder="1" applyAlignment="1" applyProtection="1">
      <alignment horizontal="center" vertical="center"/>
      <protection locked="0"/>
    </xf>
    <xf numFmtId="194" fontId="108" fillId="0" borderId="1" xfId="766" applyNumberFormat="1" applyBorder="1" applyAlignment="1">
      <alignment horizontal="center" vertical="center" wrapText="1"/>
    </xf>
    <xf numFmtId="205" fontId="12" fillId="0" borderId="1" xfId="766" applyNumberFormat="1" applyFont="1" applyBorder="1" applyAlignment="1" applyProtection="1">
      <alignment horizontal="center" vertical="center" wrapText="1"/>
      <protection locked="0"/>
    </xf>
    <xf numFmtId="194" fontId="108" fillId="0" borderId="1" xfId="766" applyNumberFormat="1" applyBorder="1" applyAlignment="1">
      <alignment horizontal="center" vertical="center"/>
    </xf>
    <xf numFmtId="0" fontId="12" fillId="0" borderId="0" xfId="766" applyFont="1" applyBorder="1" applyAlignment="1">
      <alignment horizontal="center" vertical="center"/>
    </xf>
    <xf numFmtId="0" fontId="35" fillId="0" borderId="0" xfId="766" applyFont="1" applyBorder="1" applyAlignment="1">
      <alignment horizontal="center" vertical="center" wrapText="1"/>
    </xf>
    <xf numFmtId="0" fontId="12" fillId="0" borderId="0" xfId="766" applyFont="1">
      <alignment vertical="center"/>
    </xf>
    <xf numFmtId="0" fontId="12" fillId="0" borderId="0" xfId="766" applyFont="1" applyBorder="1" applyAlignment="1">
      <alignment vertical="center"/>
    </xf>
    <xf numFmtId="0" fontId="108" fillId="0" borderId="0" xfId="766" applyBorder="1" applyAlignment="1" applyProtection="1">
      <alignment horizontal="left" vertical="center"/>
      <protection locked="0"/>
    </xf>
    <xf numFmtId="0" fontId="35" fillId="0" borderId="1" xfId="0" applyFont="1" applyBorder="1" applyAlignment="1">
      <alignment horizontal="center" vertical="center" wrapText="1"/>
    </xf>
    <xf numFmtId="0" fontId="35" fillId="0" borderId="1" xfId="0" applyFont="1" applyBorder="1" applyAlignment="1" applyProtection="1">
      <alignment horizontal="center" vertical="center" wrapText="1"/>
      <protection locked="0"/>
    </xf>
    <xf numFmtId="0" fontId="108" fillId="0" borderId="1" xfId="0" applyFont="1" applyBorder="1" applyAlignment="1">
      <alignment horizontal="center" vertical="center"/>
    </xf>
    <xf numFmtId="0" fontId="108" fillId="0" borderId="1" xfId="0" applyFont="1" applyBorder="1" applyAlignment="1" applyProtection="1">
      <alignment horizontal="center" vertical="center" wrapText="1"/>
      <protection locked="0"/>
    </xf>
    <xf numFmtId="10" fontId="108" fillId="0" borderId="1" xfId="0" applyNumberFormat="1" applyFont="1" applyBorder="1" applyAlignment="1">
      <alignment horizontal="center" vertical="center" wrapText="1"/>
    </xf>
    <xf numFmtId="10" fontId="108" fillId="0" borderId="1" xfId="0" applyNumberFormat="1" applyFont="1" applyBorder="1" applyAlignment="1" applyProtection="1">
      <alignment horizontal="center" vertical="center" wrapText="1"/>
      <protection locked="0"/>
    </xf>
    <xf numFmtId="10" fontId="23" fillId="0" borderId="4" xfId="0" applyNumberFormat="1" applyFont="1" applyBorder="1" applyAlignment="1">
      <alignment vertical="center" wrapText="1"/>
    </xf>
    <xf numFmtId="10" fontId="108" fillId="0" borderId="1" xfId="766" applyNumberFormat="1" applyFill="1" applyBorder="1" applyAlignment="1">
      <alignment horizontal="center" vertical="center" wrapText="1"/>
    </xf>
    <xf numFmtId="0" fontId="23" fillId="0" borderId="28" xfId="0" applyFont="1" applyBorder="1" applyAlignment="1" applyProtection="1">
      <alignment horizontal="center" vertical="center" wrapText="1"/>
      <protection locked="0"/>
    </xf>
    <xf numFmtId="0" fontId="114" fillId="0" borderId="1" xfId="766" applyFont="1" applyBorder="1" applyAlignment="1">
      <alignment horizontal="center" vertical="center"/>
    </xf>
    <xf numFmtId="49" fontId="114" fillId="0" borderId="1" xfId="766" applyNumberFormat="1" applyFont="1" applyBorder="1" applyAlignment="1">
      <alignment horizontal="center" vertical="center" wrapText="1"/>
    </xf>
    <xf numFmtId="0" fontId="114" fillId="0" borderId="1" xfId="766" applyFont="1" applyBorder="1" applyAlignment="1">
      <alignment horizontal="center" vertical="center" wrapText="1"/>
    </xf>
    <xf numFmtId="0" fontId="31" fillId="0" borderId="1" xfId="766" applyFont="1" applyBorder="1" applyAlignment="1">
      <alignment horizontal="center" vertical="center" wrapText="1"/>
    </xf>
    <xf numFmtId="10" fontId="24" fillId="0" borderId="28" xfId="0" applyNumberFormat="1" applyFont="1" applyBorder="1" applyAlignment="1" applyProtection="1">
      <alignment horizontal="center" vertical="center"/>
      <protection locked="0"/>
    </xf>
    <xf numFmtId="195" fontId="14" fillId="0" borderId="1" xfId="788" applyNumberFormat="1" applyFont="1" applyBorder="1" applyAlignment="1">
      <alignment horizontal="center" vertical="center" wrapText="1"/>
    </xf>
    <xf numFmtId="0" fontId="29" fillId="0" borderId="1" xfId="766" applyFont="1" applyFill="1" applyBorder="1" applyAlignment="1" applyProtection="1">
      <alignment horizontal="center" vertical="center"/>
      <protection locked="0"/>
    </xf>
    <xf numFmtId="0" fontId="23" fillId="0" borderId="2" xfId="0" applyFont="1" applyBorder="1" applyAlignment="1">
      <alignment horizontal="center" vertical="center" wrapText="1"/>
    </xf>
    <xf numFmtId="0" fontId="34" fillId="0" borderId="0" xfId="766" applyFont="1" applyFill="1" applyBorder="1" applyAlignment="1">
      <alignment vertical="center"/>
    </xf>
    <xf numFmtId="0" fontId="10" fillId="0" borderId="1" xfId="771" applyFont="1" applyBorder="1" applyAlignment="1">
      <alignment horizontal="center" vertical="center"/>
    </xf>
    <xf numFmtId="0" fontId="0" fillId="0" borderId="2" xfId="0" applyFont="1" applyBorder="1" applyAlignment="1">
      <alignment vertical="center" wrapText="1"/>
    </xf>
    <xf numFmtId="0" fontId="0" fillId="0" borderId="28" xfId="0" applyFont="1" applyBorder="1" applyAlignment="1">
      <alignment vertical="center" wrapText="1"/>
    </xf>
    <xf numFmtId="194" fontId="108" fillId="0" borderId="1" xfId="766" applyNumberFormat="1" applyFont="1" applyBorder="1" applyAlignment="1" applyProtection="1">
      <alignment horizontal="center" vertical="center"/>
      <protection locked="0"/>
    </xf>
    <xf numFmtId="205" fontId="4" fillId="0" borderId="28" xfId="788" applyNumberFormat="1" applyFont="1" applyBorder="1">
      <alignment vertical="center"/>
    </xf>
    <xf numFmtId="0" fontId="108" fillId="0" borderId="0" xfId="0" applyFont="1" applyFill="1" applyBorder="1" applyAlignment="1">
      <alignment vertical="center"/>
    </xf>
    <xf numFmtId="0" fontId="117" fillId="0" borderId="1" xfId="0" applyFont="1" applyFill="1" applyBorder="1" applyAlignment="1">
      <alignment horizontal="center" vertical="center"/>
    </xf>
    <xf numFmtId="0" fontId="117" fillId="0" borderId="3" xfId="0" applyFont="1" applyFill="1" applyBorder="1" applyAlignment="1">
      <alignment horizontal="center" vertical="center" wrapText="1"/>
    </xf>
    <xf numFmtId="0" fontId="108" fillId="0" borderId="0" xfId="0" applyNumberFormat="1" applyFont="1" applyAlignment="1">
      <alignment horizontal="left" vertical="center"/>
    </xf>
    <xf numFmtId="0" fontId="39" fillId="0" borderId="2" xfId="0" applyFont="1" applyFill="1" applyBorder="1" applyAlignment="1">
      <alignment horizontal="center" vertical="center"/>
    </xf>
    <xf numFmtId="0" fontId="39" fillId="0" borderId="3" xfId="0" applyFont="1" applyFill="1" applyBorder="1" applyAlignment="1">
      <alignment horizontal="center" vertical="center"/>
    </xf>
    <xf numFmtId="0" fontId="39" fillId="0" borderId="4" xfId="0" applyFont="1" applyFill="1" applyBorder="1" applyAlignment="1">
      <alignment horizontal="center" vertical="center"/>
    </xf>
    <xf numFmtId="0" fontId="0" fillId="0" borderId="2" xfId="0" applyFill="1" applyBorder="1" applyAlignment="1">
      <alignment horizontal="left" vertical="center"/>
    </xf>
    <xf numFmtId="0" fontId="0" fillId="0" borderId="3" xfId="0" applyFill="1" applyBorder="1" applyAlignment="1">
      <alignment horizontal="left" vertical="center"/>
    </xf>
    <xf numFmtId="0" fontId="0" fillId="0" borderId="4" xfId="0" applyFill="1" applyBorder="1" applyAlignment="1">
      <alignment horizontal="left" vertical="center"/>
    </xf>
    <xf numFmtId="0" fontId="0" fillId="0" borderId="0" xfId="0" applyFont="1" applyFill="1" applyBorder="1" applyAlignment="1">
      <alignment horizontal="left" vertical="center"/>
    </xf>
    <xf numFmtId="0" fontId="0" fillId="0" borderId="0" xfId="0" applyFill="1" applyBorder="1" applyAlignment="1">
      <alignment horizontal="left" vertical="center"/>
    </xf>
    <xf numFmtId="0" fontId="38" fillId="0" borderId="0" xfId="0" applyFont="1" applyFill="1" applyBorder="1" applyAlignment="1">
      <alignment horizontal="center" vertical="center"/>
    </xf>
    <xf numFmtId="0" fontId="0" fillId="0" borderId="5" xfId="0" applyFill="1" applyBorder="1" applyAlignment="1">
      <alignment horizontal="left" vertical="center"/>
    </xf>
    <xf numFmtId="0" fontId="0" fillId="0" borderId="2" xfId="0" applyFont="1" applyFill="1" applyBorder="1" applyAlignment="1">
      <alignment horizontal="left" vertical="center"/>
    </xf>
    <xf numFmtId="0" fontId="36" fillId="0" borderId="0" xfId="0" applyFont="1" applyFill="1" applyBorder="1" applyAlignment="1">
      <alignment horizontal="center" vertical="center" wrapText="1"/>
    </xf>
    <xf numFmtId="31" fontId="3" fillId="0" borderId="5" xfId="0" applyNumberFormat="1" applyFont="1" applyFill="1" applyBorder="1" applyAlignment="1">
      <alignment horizontal="right" vertical="center" wrapText="1"/>
    </xf>
    <xf numFmtId="0" fontId="3" fillId="0" borderId="5" xfId="0" applyFont="1" applyFill="1" applyBorder="1" applyAlignment="1">
      <alignment horizontal="right" vertical="center" wrapText="1"/>
    </xf>
    <xf numFmtId="0" fontId="3" fillId="0" borderId="2" xfId="0" applyFont="1" applyFill="1" applyBorder="1" applyAlignment="1">
      <alignment horizontal="center" vertical="center" wrapText="1"/>
    </xf>
    <xf numFmtId="0" fontId="3" fillId="0" borderId="3" xfId="0" applyFont="1" applyFill="1" applyBorder="1" applyAlignment="1">
      <alignment horizontal="center" vertical="center" wrapText="1"/>
    </xf>
    <xf numFmtId="0" fontId="3" fillId="0" borderId="4" xfId="0" applyFont="1" applyFill="1" applyBorder="1" applyAlignment="1">
      <alignment horizontal="center" vertical="center" wrapText="1"/>
    </xf>
    <xf numFmtId="0" fontId="3" fillId="0" borderId="1" xfId="0" applyFont="1" applyFill="1" applyBorder="1" applyAlignment="1">
      <alignment horizontal="center" vertical="center" wrapText="1"/>
    </xf>
    <xf numFmtId="0" fontId="16" fillId="0" borderId="0" xfId="0" applyFont="1" applyFill="1" applyBorder="1" applyAlignment="1">
      <alignment horizontal="center" vertical="top" wrapText="1"/>
    </xf>
    <xf numFmtId="0" fontId="35" fillId="0" borderId="8" xfId="770" applyFont="1" applyBorder="1" applyAlignment="1">
      <alignment horizontal="center" vertical="center" wrapText="1"/>
    </xf>
    <xf numFmtId="0" fontId="35" fillId="0" borderId="9" xfId="770" applyFont="1" applyBorder="1" applyAlignment="1">
      <alignment horizontal="center" vertical="center" wrapText="1"/>
    </xf>
    <xf numFmtId="0" fontId="35" fillId="0" borderId="7" xfId="770" applyFont="1" applyBorder="1" applyAlignment="1">
      <alignment horizontal="center" vertical="center"/>
    </xf>
    <xf numFmtId="0" fontId="35" fillId="0" borderId="7" xfId="770" applyFont="1" applyBorder="1" applyAlignment="1">
      <alignment horizontal="center" vertical="center" wrapText="1"/>
    </xf>
    <xf numFmtId="0" fontId="34" fillId="0" borderId="0" xfId="0" applyNumberFormat="1" applyFont="1" applyFill="1" applyBorder="1" applyAlignment="1">
      <alignment horizontal="center" vertical="center" wrapText="1"/>
    </xf>
    <xf numFmtId="0" fontId="34" fillId="0" borderId="0" xfId="0" applyNumberFormat="1" applyFont="1" applyFill="1" applyBorder="1" applyAlignment="1">
      <alignment horizontal="center" vertical="center"/>
    </xf>
    <xf numFmtId="0" fontId="23" fillId="0" borderId="0" xfId="0" applyNumberFormat="1" applyFont="1" applyFill="1" applyBorder="1" applyAlignment="1">
      <alignment horizontal="left" vertical="center" wrapText="1"/>
    </xf>
    <xf numFmtId="31" fontId="23" fillId="0" borderId="5" xfId="0" applyNumberFormat="1" applyFont="1" applyFill="1" applyBorder="1" applyAlignment="1">
      <alignment horizontal="left" vertical="center" wrapText="1"/>
    </xf>
    <xf numFmtId="0" fontId="23" fillId="0" borderId="5" xfId="0" applyFont="1" applyFill="1" applyBorder="1" applyAlignment="1">
      <alignment horizontal="center" vertical="center"/>
    </xf>
    <xf numFmtId="0" fontId="25" fillId="0" borderId="0" xfId="0" applyFont="1" applyBorder="1" applyAlignment="1">
      <alignment horizontal="center" vertical="center" wrapText="1"/>
    </xf>
    <xf numFmtId="0" fontId="28" fillId="0" borderId="0" xfId="0" applyFont="1" applyBorder="1" applyAlignment="1">
      <alignment horizontal="left" vertical="center" wrapText="1"/>
    </xf>
    <xf numFmtId="0" fontId="0" fillId="0" borderId="2" xfId="0" applyFont="1" applyBorder="1" applyAlignment="1">
      <alignment horizontal="left" vertical="justify" wrapText="1"/>
    </xf>
    <xf numFmtId="0" fontId="0" fillId="0" borderId="3" xfId="0" applyFont="1" applyBorder="1" applyAlignment="1">
      <alignment horizontal="left" vertical="justify" wrapText="1"/>
    </xf>
    <xf numFmtId="0" fontId="0" fillId="0" borderId="4" xfId="0" applyFont="1" applyBorder="1" applyAlignment="1">
      <alignment horizontal="left" vertical="justify" wrapText="1"/>
    </xf>
    <xf numFmtId="0" fontId="0" fillId="0" borderId="1" xfId="0" applyFont="1" applyBorder="1" applyAlignment="1">
      <alignment horizontal="left" vertical="center" wrapText="1"/>
    </xf>
    <xf numFmtId="0" fontId="0" fillId="0" borderId="2" xfId="0" applyFont="1" applyBorder="1" applyAlignment="1">
      <alignment horizontal="left" vertical="top" wrapText="1"/>
    </xf>
    <xf numFmtId="0" fontId="0" fillId="0" borderId="3" xfId="0" applyFont="1" applyBorder="1" applyAlignment="1">
      <alignment horizontal="left" vertical="top" wrapText="1"/>
    </xf>
    <xf numFmtId="0" fontId="0" fillId="0" borderId="4" xfId="0" applyFont="1" applyBorder="1" applyAlignment="1">
      <alignment horizontal="left" vertical="top" wrapText="1"/>
    </xf>
    <xf numFmtId="0" fontId="0" fillId="0" borderId="1" xfId="0" applyBorder="1" applyAlignment="1">
      <alignment horizontal="left" vertical="center"/>
    </xf>
    <xf numFmtId="0" fontId="0" fillId="0" borderId="2" xfId="0" applyBorder="1" applyAlignment="1">
      <alignment horizontal="left" vertical="center"/>
    </xf>
    <xf numFmtId="0" fontId="16" fillId="0" borderId="0" xfId="0" applyFont="1" applyAlignment="1">
      <alignment horizontal="center" vertical="center"/>
    </xf>
    <xf numFmtId="0" fontId="0" fillId="0" borderId="0" xfId="0" applyFont="1" applyBorder="1" applyAlignment="1">
      <alignment horizontal="left" vertical="justify" wrapText="1"/>
    </xf>
    <xf numFmtId="0" fontId="27" fillId="0" borderId="0" xfId="0" applyFont="1" applyFill="1" applyBorder="1" applyAlignment="1">
      <alignment horizontal="center" vertical="center"/>
    </xf>
    <xf numFmtId="31" fontId="28" fillId="0" borderId="5" xfId="0" applyNumberFormat="1" applyFont="1" applyFill="1" applyBorder="1" applyAlignment="1">
      <alignment horizontal="right" vertical="center"/>
    </xf>
    <xf numFmtId="0" fontId="28" fillId="0" borderId="5" xfId="0" applyFont="1" applyFill="1" applyBorder="1" applyAlignment="1">
      <alignment horizontal="right" vertical="center"/>
    </xf>
    <xf numFmtId="0" fontId="0" fillId="0" borderId="8" xfId="0" applyFont="1" applyFill="1" applyBorder="1" applyAlignment="1">
      <alignment horizontal="center" vertical="center"/>
    </xf>
    <xf numFmtId="0" fontId="32" fillId="0" borderId="0" xfId="0" applyFont="1" applyFill="1" applyBorder="1" applyAlignment="1">
      <alignment horizontal="left" vertical="center"/>
    </xf>
    <xf numFmtId="0" fontId="28" fillId="0" borderId="0" xfId="0" applyFont="1" applyFill="1" applyBorder="1" applyAlignment="1">
      <alignment horizontal="left" vertical="center"/>
    </xf>
    <xf numFmtId="0" fontId="28" fillId="0" borderId="6" xfId="0" applyFont="1" applyFill="1" applyBorder="1" applyAlignment="1">
      <alignment horizontal="left" vertical="center"/>
    </xf>
    <xf numFmtId="0" fontId="0" fillId="0" borderId="1" xfId="0" applyFont="1" applyFill="1" applyBorder="1" applyAlignment="1">
      <alignment horizontal="center" vertical="center"/>
    </xf>
    <xf numFmtId="0" fontId="0" fillId="0" borderId="8" xfId="0" applyFont="1" applyFill="1" applyBorder="1" applyAlignment="1">
      <alignment horizontal="center" vertical="center" wrapText="1"/>
    </xf>
    <xf numFmtId="0" fontId="0" fillId="0" borderId="9" xfId="0" applyFont="1" applyFill="1" applyBorder="1" applyAlignment="1">
      <alignment horizontal="center" vertical="center" wrapText="1"/>
    </xf>
    <xf numFmtId="0" fontId="0" fillId="0" borderId="1" xfId="0" applyFont="1" applyFill="1" applyBorder="1" applyAlignment="1">
      <alignment horizontal="center" vertical="center" wrapText="1"/>
    </xf>
    <xf numFmtId="0" fontId="28" fillId="0" borderId="1" xfId="0" applyFont="1" applyFill="1" applyBorder="1" applyAlignment="1">
      <alignment horizontal="center" vertical="center"/>
    </xf>
    <xf numFmtId="0" fontId="108" fillId="0" borderId="10" xfId="0" applyFont="1" applyFill="1" applyBorder="1" applyAlignment="1">
      <alignment horizontal="center" vertical="center" wrapText="1"/>
    </xf>
    <xf numFmtId="0" fontId="0" fillId="0" borderId="11" xfId="0" applyFont="1" applyFill="1" applyBorder="1" applyAlignment="1">
      <alignment horizontal="center" vertical="center" wrapText="1"/>
    </xf>
    <xf numFmtId="0" fontId="0" fillId="0" borderId="25" xfId="0" applyFont="1" applyFill="1" applyBorder="1" applyAlignment="1">
      <alignment horizontal="center" vertical="center" wrapText="1"/>
    </xf>
    <xf numFmtId="0" fontId="0" fillId="0" borderId="26" xfId="0" applyFont="1" applyFill="1" applyBorder="1" applyAlignment="1">
      <alignment horizontal="center" vertical="center" wrapText="1"/>
    </xf>
    <xf numFmtId="0" fontId="108" fillId="0" borderId="1" xfId="0" applyFont="1" applyFill="1" applyBorder="1" applyAlignment="1">
      <alignment horizontal="center" vertical="center" wrapText="1"/>
    </xf>
    <xf numFmtId="0" fontId="34" fillId="0" borderId="2" xfId="766" applyFont="1" applyBorder="1" applyAlignment="1">
      <alignment horizontal="center" vertical="center"/>
    </xf>
    <xf numFmtId="0" fontId="34" fillId="0" borderId="3" xfId="766" applyFont="1" applyBorder="1" applyAlignment="1">
      <alignment horizontal="center" vertical="center"/>
    </xf>
    <xf numFmtId="0" fontId="34" fillId="0" borderId="4" xfId="766" applyFont="1" applyBorder="1" applyAlignment="1">
      <alignment horizontal="center" vertical="center"/>
    </xf>
    <xf numFmtId="0" fontId="16" fillId="0" borderId="0" xfId="766" applyFont="1" applyAlignment="1">
      <alignment horizontal="center" vertical="center"/>
    </xf>
    <xf numFmtId="0" fontId="34" fillId="0" borderId="0" xfId="766" applyFont="1" applyAlignment="1">
      <alignment horizontal="left" vertical="center"/>
    </xf>
    <xf numFmtId="0" fontId="34" fillId="0" borderId="5" xfId="766" applyFont="1" applyBorder="1" applyAlignment="1">
      <alignment horizontal="left" vertical="center"/>
    </xf>
    <xf numFmtId="0" fontId="34" fillId="0" borderId="0" xfId="766" applyFont="1" applyFill="1" applyBorder="1" applyAlignment="1">
      <alignment horizontal="left" vertical="center"/>
    </xf>
    <xf numFmtId="205" fontId="116" fillId="0" borderId="28" xfId="766" applyNumberFormat="1" applyFont="1" applyBorder="1" applyAlignment="1">
      <alignment horizontal="center" vertical="center" wrapText="1"/>
    </xf>
    <xf numFmtId="0" fontId="34" fillId="0" borderId="0" xfId="766" applyFont="1" applyAlignment="1">
      <alignment horizontal="center" vertical="center"/>
    </xf>
    <xf numFmtId="210" fontId="34" fillId="0" borderId="0" xfId="766" applyNumberFormat="1" applyFont="1" applyAlignment="1">
      <alignment horizontal="center" vertical="center"/>
    </xf>
    <xf numFmtId="205" fontId="34" fillId="0" borderId="0" xfId="766" applyNumberFormat="1" applyFont="1" applyAlignment="1">
      <alignment horizontal="center" vertical="center"/>
    </xf>
    <xf numFmtId="0" fontId="108" fillId="0" borderId="0" xfId="766" applyFont="1" applyFill="1" applyAlignment="1">
      <alignment horizontal="left" vertical="center" wrapText="1"/>
    </xf>
    <xf numFmtId="0" fontId="108" fillId="0" borderId="0" xfId="766" applyFont="1" applyBorder="1" applyAlignment="1">
      <alignment horizontal="left" vertical="center"/>
    </xf>
    <xf numFmtId="210" fontId="108" fillId="0" borderId="0" xfId="766" applyNumberFormat="1" applyFont="1" applyBorder="1" applyAlignment="1">
      <alignment horizontal="left" vertical="center"/>
    </xf>
    <xf numFmtId="205" fontId="108" fillId="0" borderId="0" xfId="766" applyNumberFormat="1" applyFont="1" applyBorder="1" applyAlignment="1">
      <alignment horizontal="left" vertical="center"/>
    </xf>
    <xf numFmtId="0" fontId="108" fillId="0" borderId="0" xfId="766" applyBorder="1" applyAlignment="1" applyProtection="1">
      <alignment horizontal="left" vertical="center"/>
      <protection locked="0"/>
    </xf>
    <xf numFmtId="210" fontId="108" fillId="0" borderId="0" xfId="766" applyNumberFormat="1" applyBorder="1" applyAlignment="1" applyProtection="1">
      <alignment horizontal="left" vertical="center"/>
      <protection locked="0"/>
    </xf>
    <xf numFmtId="210" fontId="35" fillId="0" borderId="2" xfId="766" applyNumberFormat="1" applyFont="1" applyBorder="1" applyAlignment="1" applyProtection="1">
      <alignment horizontal="center" vertical="center" wrapText="1"/>
      <protection locked="0"/>
    </xf>
    <xf numFmtId="210" fontId="35" fillId="0" borderId="3" xfId="766" applyNumberFormat="1" applyFont="1" applyBorder="1" applyAlignment="1" applyProtection="1">
      <alignment horizontal="center" vertical="center" wrapText="1"/>
      <protection locked="0"/>
    </xf>
    <xf numFmtId="210" fontId="35" fillId="0" borderId="4" xfId="766" applyNumberFormat="1" applyFont="1" applyBorder="1" applyAlignment="1" applyProtection="1">
      <alignment horizontal="center" vertical="center" wrapText="1"/>
      <protection locked="0"/>
    </xf>
    <xf numFmtId="0" fontId="0" fillId="0" borderId="2" xfId="787" applyFont="1" applyBorder="1" applyAlignment="1">
      <alignment horizontal="center" vertical="center" wrapText="1"/>
    </xf>
    <xf numFmtId="0" fontId="111" fillId="0" borderId="12" xfId="787" applyFont="1" applyBorder="1" applyAlignment="1">
      <alignment horizontal="center" vertical="center" wrapText="1"/>
    </xf>
    <xf numFmtId="0" fontId="108" fillId="0" borderId="6" xfId="787" applyFont="1" applyBorder="1" applyAlignment="1">
      <alignment horizontal="left" vertical="center"/>
    </xf>
    <xf numFmtId="0" fontId="25" fillId="0" borderId="0" xfId="787" applyFont="1" applyAlignment="1">
      <alignment horizontal="center" vertical="center" wrapText="1"/>
    </xf>
    <xf numFmtId="0" fontId="108" fillId="0" borderId="0" xfId="766" applyFont="1" applyFill="1" applyBorder="1" applyAlignment="1">
      <alignment horizontal="left" vertical="center" wrapText="1"/>
    </xf>
    <xf numFmtId="0" fontId="108" fillId="0" borderId="0" xfId="766" applyFont="1" applyFill="1" applyBorder="1" applyAlignment="1">
      <alignment horizontal="center" vertical="center" wrapText="1"/>
    </xf>
    <xf numFmtId="0" fontId="0" fillId="0" borderId="8" xfId="787" applyFont="1" applyBorder="1" applyAlignment="1">
      <alignment horizontal="center" vertical="center" wrapText="1"/>
    </xf>
    <xf numFmtId="0" fontId="0" fillId="0" borderId="7" xfId="787" applyFont="1" applyBorder="1" applyAlignment="1">
      <alignment horizontal="center" vertical="center" wrapText="1"/>
    </xf>
    <xf numFmtId="0" fontId="0" fillId="0" borderId="1" xfId="787" applyFont="1" applyBorder="1" applyAlignment="1">
      <alignment horizontal="center" vertical="center" wrapText="1"/>
    </xf>
    <xf numFmtId="0" fontId="31" fillId="0" borderId="1" xfId="766" applyFont="1" applyBorder="1" applyAlignment="1">
      <alignment horizontal="center" vertical="center"/>
    </xf>
    <xf numFmtId="0" fontId="31" fillId="0" borderId="1" xfId="766" applyFont="1" applyBorder="1" applyAlignment="1">
      <alignment horizontal="center" vertical="center" wrapText="1"/>
    </xf>
    <xf numFmtId="212" fontId="34" fillId="0" borderId="0" xfId="766" applyNumberFormat="1" applyFont="1" applyFill="1" applyBorder="1" applyAlignment="1">
      <alignment horizontal="left" vertical="center"/>
    </xf>
    <xf numFmtId="0" fontId="31" fillId="0" borderId="0" xfId="766" applyFont="1" applyAlignment="1">
      <alignment horizontal="left" vertical="center"/>
    </xf>
    <xf numFmtId="0" fontId="34" fillId="0" borderId="1" xfId="766" applyFont="1" applyBorder="1" applyAlignment="1">
      <alignment horizontal="center" vertical="center"/>
    </xf>
    <xf numFmtId="0" fontId="31" fillId="0" borderId="8" xfId="766" applyFont="1" applyBorder="1" applyAlignment="1">
      <alignment horizontal="center" vertical="center" wrapText="1"/>
    </xf>
    <xf numFmtId="0" fontId="31" fillId="0" borderId="9" xfId="766" applyFont="1" applyBorder="1" applyAlignment="1">
      <alignment horizontal="center" vertical="center" wrapText="1"/>
    </xf>
    <xf numFmtId="0" fontId="31" fillId="0" borderId="7" xfId="766" applyFont="1" applyBorder="1" applyAlignment="1">
      <alignment horizontal="center" vertical="center" wrapText="1"/>
    </xf>
    <xf numFmtId="211" fontId="31" fillId="0" borderId="8" xfId="766" applyNumberFormat="1" applyFont="1" applyBorder="1" applyAlignment="1">
      <alignment horizontal="center" vertical="center" textRotation="255" wrapText="1"/>
    </xf>
    <xf numFmtId="211" fontId="31" fillId="0" borderId="9" xfId="766" applyNumberFormat="1" applyFont="1" applyBorder="1" applyAlignment="1">
      <alignment horizontal="center" vertical="center" textRotation="255" wrapText="1"/>
    </xf>
    <xf numFmtId="211" fontId="31" fillId="0" borderId="7" xfId="766" applyNumberFormat="1" applyFont="1" applyBorder="1" applyAlignment="1">
      <alignment horizontal="center" vertical="center" textRotation="255" wrapText="1"/>
    </xf>
    <xf numFmtId="211" fontId="31" fillId="0" borderId="8" xfId="766" applyNumberFormat="1" applyFont="1" applyBorder="1" applyAlignment="1">
      <alignment horizontal="center" vertical="center" wrapText="1"/>
    </xf>
    <xf numFmtId="211" fontId="31" fillId="0" borderId="7" xfId="766" applyNumberFormat="1" applyFont="1" applyBorder="1" applyAlignment="1">
      <alignment horizontal="center" vertical="center" wrapText="1"/>
    </xf>
    <xf numFmtId="0" fontId="25" fillId="0" borderId="0" xfId="766" applyFont="1" applyFill="1" applyBorder="1" applyAlignment="1">
      <alignment horizontal="center" vertical="center"/>
    </xf>
    <xf numFmtId="31" fontId="108" fillId="0" borderId="0" xfId="766" applyNumberFormat="1" applyFont="1" applyFill="1" applyBorder="1" applyAlignment="1">
      <alignment horizontal="center" wrapText="1"/>
    </xf>
    <xf numFmtId="0" fontId="108" fillId="0" borderId="28" xfId="766" applyBorder="1" applyAlignment="1">
      <alignment horizontal="center" vertical="center" wrapText="1"/>
    </xf>
    <xf numFmtId="0" fontId="34" fillId="0" borderId="0" xfId="766" applyFont="1" applyFill="1" applyAlignment="1">
      <alignment horizontal="center" vertical="center" wrapText="1"/>
    </xf>
    <xf numFmtId="205" fontId="34" fillId="0" borderId="0" xfId="766" applyNumberFormat="1" applyFont="1" applyFill="1" applyAlignment="1">
      <alignment horizontal="center" vertical="center" wrapText="1"/>
    </xf>
    <xf numFmtId="0" fontId="23" fillId="0" borderId="2" xfId="0" applyFont="1" applyBorder="1" applyAlignment="1">
      <alignment horizontal="center" vertical="center"/>
    </xf>
    <xf numFmtId="0" fontId="23" fillId="0" borderId="4" xfId="0" applyFont="1" applyBorder="1" applyAlignment="1">
      <alignment horizontal="center" vertical="center"/>
    </xf>
    <xf numFmtId="10" fontId="23" fillId="0" borderId="2" xfId="0" applyNumberFormat="1" applyFont="1" applyBorder="1" applyAlignment="1">
      <alignment horizontal="center" vertical="center" wrapText="1"/>
    </xf>
    <xf numFmtId="10" fontId="23" fillId="0" borderId="4" xfId="0" applyNumberFormat="1" applyFont="1" applyBorder="1" applyAlignment="1">
      <alignment horizontal="center" vertical="center" wrapText="1"/>
    </xf>
    <xf numFmtId="0" fontId="25" fillId="0" borderId="0" xfId="0" applyFont="1" applyAlignment="1">
      <alignment horizontal="center" vertical="center" wrapText="1"/>
    </xf>
    <xf numFmtId="10" fontId="23" fillId="0" borderId="1" xfId="0" applyNumberFormat="1" applyFont="1" applyBorder="1" applyAlignment="1">
      <alignment horizontal="center" vertical="center" wrapText="1"/>
    </xf>
    <xf numFmtId="0" fontId="108" fillId="0" borderId="2" xfId="766" applyFill="1" applyBorder="1" applyAlignment="1">
      <alignment horizontal="left" vertical="center" wrapText="1"/>
    </xf>
    <xf numFmtId="0" fontId="108" fillId="0" borderId="3" xfId="766" applyFill="1" applyBorder="1" applyAlignment="1">
      <alignment horizontal="left" vertical="center" wrapText="1"/>
    </xf>
    <xf numFmtId="0" fontId="108" fillId="0" borderId="2" xfId="766" applyFill="1" applyBorder="1" applyAlignment="1">
      <alignment horizontal="center" vertical="center" wrapText="1"/>
    </xf>
    <xf numFmtId="0" fontId="108" fillId="0" borderId="3" xfId="766" applyFill="1" applyBorder="1" applyAlignment="1">
      <alignment horizontal="center" vertical="center" wrapText="1"/>
    </xf>
    <xf numFmtId="0" fontId="108" fillId="0" borderId="4" xfId="766" applyFill="1" applyBorder="1" applyAlignment="1">
      <alignment horizontal="center" vertical="center" wrapText="1"/>
    </xf>
    <xf numFmtId="0" fontId="108" fillId="0" borderId="10" xfId="766" applyFont="1" applyFill="1" applyBorder="1" applyAlignment="1">
      <alignment horizontal="center" vertical="center" wrapText="1"/>
    </xf>
    <xf numFmtId="0" fontId="108" fillId="0" borderId="27" xfId="766" applyFont="1" applyFill="1" applyBorder="1" applyAlignment="1">
      <alignment horizontal="center" vertical="center" wrapText="1"/>
    </xf>
    <xf numFmtId="0" fontId="108" fillId="0" borderId="2" xfId="766" applyFont="1" applyFill="1" applyBorder="1" applyAlignment="1">
      <alignment horizontal="center" vertical="center" wrapText="1"/>
    </xf>
    <xf numFmtId="0" fontId="108" fillId="0" borderId="4" xfId="766" applyFont="1" applyFill="1" applyBorder="1" applyAlignment="1">
      <alignment horizontal="center" vertical="center" wrapText="1"/>
    </xf>
    <xf numFmtId="10" fontId="108" fillId="0" borderId="2" xfId="766" applyNumberFormat="1" applyFont="1" applyFill="1" applyBorder="1" applyAlignment="1">
      <alignment horizontal="center" vertical="center" wrapText="1"/>
    </xf>
    <xf numFmtId="10" fontId="108" fillId="0" borderId="4" xfId="766" applyNumberFormat="1" applyFont="1" applyFill="1" applyBorder="1" applyAlignment="1">
      <alignment horizontal="center" vertical="center" wrapText="1"/>
    </xf>
    <xf numFmtId="0" fontId="108" fillId="0" borderId="25" xfId="766" applyFont="1" applyFill="1" applyBorder="1" applyAlignment="1">
      <alignment horizontal="center" vertical="center" wrapText="1"/>
    </xf>
    <xf numFmtId="0" fontId="108" fillId="0" borderId="1" xfId="766" applyFont="1" applyFill="1" applyBorder="1" applyAlignment="1">
      <alignment horizontal="center" vertical="center" wrapText="1"/>
    </xf>
    <xf numFmtId="0" fontId="108" fillId="0" borderId="1" xfId="766" applyFill="1" applyBorder="1" applyAlignment="1">
      <alignment horizontal="center" vertical="center" wrapText="1"/>
    </xf>
    <xf numFmtId="10" fontId="108" fillId="0" borderId="1" xfId="766" applyNumberFormat="1" applyFont="1" applyFill="1" applyBorder="1" applyAlignment="1">
      <alignment horizontal="center" vertical="center" wrapText="1"/>
    </xf>
    <xf numFmtId="10" fontId="35" fillId="0" borderId="1" xfId="766" applyNumberFormat="1" applyFont="1" applyBorder="1" applyAlignment="1" applyProtection="1">
      <alignment horizontal="center" vertical="center" wrapText="1"/>
      <protection locked="0"/>
    </xf>
    <xf numFmtId="0" fontId="25" fillId="0" borderId="0" xfId="766" applyFont="1" applyAlignment="1">
      <alignment horizontal="center" vertical="center" wrapText="1"/>
    </xf>
    <xf numFmtId="0" fontId="108" fillId="0" borderId="1" xfId="766" applyBorder="1" applyAlignment="1">
      <alignment horizontal="center" vertical="center" wrapText="1"/>
    </xf>
    <xf numFmtId="0" fontId="108" fillId="0" borderId="1" xfId="766" applyBorder="1" applyAlignment="1">
      <alignment horizontal="center" vertical="center" wrapText="1" shrinkToFit="1"/>
    </xf>
    <xf numFmtId="0" fontId="108" fillId="0" borderId="1" xfId="766" applyFont="1" applyBorder="1" applyAlignment="1">
      <alignment horizontal="center" vertical="center" wrapText="1" shrinkToFit="1"/>
    </xf>
    <xf numFmtId="0" fontId="108" fillId="0" borderId="8" xfId="766" applyBorder="1" applyAlignment="1">
      <alignment horizontal="center" vertical="center" wrapText="1" shrinkToFit="1"/>
    </xf>
    <xf numFmtId="0" fontId="108" fillId="0" borderId="7" xfId="766" applyBorder="1" applyAlignment="1">
      <alignment horizontal="center" vertical="center" wrapText="1" shrinkToFit="1"/>
    </xf>
    <xf numFmtId="0" fontId="22" fillId="0" borderId="0" xfId="0" applyFont="1" applyAlignment="1">
      <alignment horizontal="center" vertical="center" wrapText="1"/>
    </xf>
    <xf numFmtId="195" fontId="22" fillId="0" borderId="0" xfId="0" applyNumberFormat="1" applyFont="1" applyAlignment="1">
      <alignment horizontal="center" vertical="center" wrapText="1"/>
    </xf>
    <xf numFmtId="0" fontId="23" fillId="0" borderId="5" xfId="0" applyNumberFormat="1" applyFont="1" applyBorder="1" applyAlignment="1">
      <alignment horizontal="left" vertical="center" wrapText="1"/>
    </xf>
    <xf numFmtId="0" fontId="23" fillId="0" borderId="0" xfId="0" applyFont="1" applyAlignment="1" applyProtection="1">
      <alignment horizontal="left" vertical="center"/>
      <protection locked="0"/>
    </xf>
    <xf numFmtId="195" fontId="23" fillId="0" borderId="0" xfId="0" applyNumberFormat="1" applyFont="1" applyAlignment="1" applyProtection="1">
      <alignment horizontal="left" vertical="center"/>
      <protection locked="0"/>
    </xf>
    <xf numFmtId="0" fontId="23" fillId="0" borderId="0" xfId="0" applyFont="1" applyBorder="1" applyAlignment="1">
      <alignment horizontal="left" vertical="center"/>
    </xf>
    <xf numFmtId="195" fontId="23" fillId="0" borderId="0" xfId="0" applyNumberFormat="1" applyFont="1" applyBorder="1" applyAlignment="1">
      <alignment horizontal="left" vertical="center"/>
    </xf>
    <xf numFmtId="0" fontId="19" fillId="0" borderId="0" xfId="0" applyFont="1" applyAlignment="1">
      <alignment horizontal="center" vertical="center" wrapText="1"/>
    </xf>
    <xf numFmtId="0" fontId="20" fillId="0" borderId="0" xfId="0" applyFont="1" applyAlignment="1">
      <alignment horizontal="left" vertical="center" wrapText="1"/>
    </xf>
    <xf numFmtId="0" fontId="0" fillId="0" borderId="0" xfId="0" applyAlignment="1">
      <alignment horizontal="left" vertical="center" wrapText="1"/>
    </xf>
    <xf numFmtId="0" fontId="0" fillId="0" borderId="0" xfId="0" applyFont="1" applyAlignment="1">
      <alignment horizontal="left" vertical="center" wrapText="1"/>
    </xf>
    <xf numFmtId="0" fontId="108" fillId="0" borderId="0" xfId="0" applyFont="1" applyAlignment="1">
      <alignment horizontal="left" vertical="center" wrapText="1"/>
    </xf>
    <xf numFmtId="0" fontId="0" fillId="0" borderId="5" xfId="0" applyFont="1" applyBorder="1" applyAlignment="1">
      <alignment horizontal="left" vertical="center" wrapText="1"/>
    </xf>
    <xf numFmtId="0" fontId="0" fillId="0" borderId="2" xfId="0" applyFont="1" applyBorder="1" applyAlignment="1">
      <alignment horizontal="left" vertical="center" wrapText="1"/>
    </xf>
    <xf numFmtId="0" fontId="0" fillId="0" borderId="3" xfId="0" applyFont="1" applyBorder="1" applyAlignment="1">
      <alignment horizontal="left" vertical="center" wrapText="1"/>
    </xf>
    <xf numFmtId="0" fontId="0" fillId="0" borderId="4" xfId="0" applyFont="1" applyBorder="1" applyAlignment="1">
      <alignment horizontal="left" vertical="center" wrapText="1"/>
    </xf>
    <xf numFmtId="0" fontId="0" fillId="0" borderId="6" xfId="0" applyBorder="1" applyAlignment="1">
      <alignment horizontal="left" vertical="center" wrapText="1"/>
    </xf>
    <xf numFmtId="0" fontId="29" fillId="0" borderId="0" xfId="0" applyFont="1" applyAlignment="1">
      <alignment horizontal="left" vertical="center" wrapText="1"/>
    </xf>
    <xf numFmtId="0" fontId="0" fillId="0" borderId="2" xfId="0" applyBorder="1" applyAlignment="1">
      <alignment horizontal="center" vertical="center"/>
    </xf>
    <xf numFmtId="0" fontId="0" fillId="0" borderId="3" xfId="0" applyBorder="1" applyAlignment="1">
      <alignment horizontal="center" vertical="center"/>
    </xf>
    <xf numFmtId="0" fontId="0" fillId="0" borderId="4" xfId="0" applyBorder="1" applyAlignment="1">
      <alignment horizontal="center" vertical="center"/>
    </xf>
    <xf numFmtId="0" fontId="0" fillId="0" borderId="6" xfId="0" applyFont="1" applyBorder="1" applyAlignment="1">
      <alignment horizontal="left" vertical="center" wrapText="1"/>
    </xf>
    <xf numFmtId="195" fontId="14" fillId="0" borderId="2" xfId="788" applyNumberFormat="1" applyFont="1" applyBorder="1" applyAlignment="1">
      <alignment horizontal="center" vertical="center" wrapText="1"/>
    </xf>
    <xf numFmtId="195" fontId="14" fillId="0" borderId="4" xfId="788" applyNumberFormat="1" applyFont="1" applyBorder="1" applyAlignment="1">
      <alignment horizontal="center" vertical="center" wrapText="1"/>
    </xf>
    <xf numFmtId="0" fontId="109" fillId="0" borderId="0" xfId="766" applyFont="1" applyAlignment="1">
      <alignment horizontal="center" vertical="center" wrapText="1"/>
    </xf>
    <xf numFmtId="0" fontId="17" fillId="0" borderId="0" xfId="766" applyFont="1" applyAlignment="1">
      <alignment horizontal="center" vertical="center"/>
    </xf>
    <xf numFmtId="0" fontId="12" fillId="0" borderId="5" xfId="766" applyFont="1" applyBorder="1" applyAlignment="1">
      <alignment horizontal="right" vertical="center"/>
    </xf>
    <xf numFmtId="0" fontId="12" fillId="0" borderId="1" xfId="766" applyFont="1" applyBorder="1" applyAlignment="1">
      <alignment horizontal="center" vertical="center"/>
    </xf>
    <xf numFmtId="0" fontId="14" fillId="0" borderId="1" xfId="766" applyFont="1" applyBorder="1" applyAlignment="1">
      <alignment horizontal="center" vertical="center"/>
    </xf>
    <xf numFmtId="0" fontId="12" fillId="0" borderId="2" xfId="766" applyFont="1" applyBorder="1" applyAlignment="1">
      <alignment horizontal="center" vertical="center" wrapText="1"/>
    </xf>
    <xf numFmtId="0" fontId="14" fillId="0" borderId="3" xfId="766" applyFont="1" applyBorder="1" applyAlignment="1">
      <alignment horizontal="center" vertical="center" wrapText="1"/>
    </xf>
    <xf numFmtId="0" fontId="14" fillId="0" borderId="4" xfId="766" applyFont="1" applyBorder="1" applyAlignment="1">
      <alignment horizontal="center" vertical="center" wrapText="1"/>
    </xf>
    <xf numFmtId="0" fontId="14" fillId="0" borderId="7" xfId="766" applyFont="1" applyBorder="1" applyAlignment="1">
      <alignment horizontal="center" vertical="center"/>
    </xf>
    <xf numFmtId="0" fontId="12" fillId="0" borderId="2" xfId="766" applyFont="1" applyBorder="1" applyAlignment="1">
      <alignment horizontal="right" vertical="center" wrapText="1"/>
    </xf>
    <xf numFmtId="0" fontId="14" fillId="0" borderId="3" xfId="766" applyFont="1" applyBorder="1" applyAlignment="1">
      <alignment horizontal="right" vertical="center"/>
    </xf>
    <xf numFmtId="0" fontId="14" fillId="0" borderId="4" xfId="766" applyFont="1" applyBorder="1" applyAlignment="1">
      <alignment horizontal="right" vertical="center"/>
    </xf>
    <xf numFmtId="0" fontId="18" fillId="0" borderId="6" xfId="766" applyFont="1" applyBorder="1" applyAlignment="1">
      <alignment horizontal="left" vertical="center" wrapText="1"/>
    </xf>
    <xf numFmtId="0" fontId="18" fillId="0" borderId="6" xfId="766" applyFont="1" applyBorder="1" applyAlignment="1">
      <alignment horizontal="left" vertical="center"/>
    </xf>
    <xf numFmtId="0" fontId="12" fillId="0" borderId="1" xfId="766" applyFont="1" applyBorder="1" applyAlignment="1">
      <alignment horizontal="center" vertical="center" wrapText="1"/>
    </xf>
    <xf numFmtId="0" fontId="14" fillId="0" borderId="1" xfId="766" applyFont="1" applyBorder="1" applyAlignment="1">
      <alignment horizontal="center" vertical="center" wrapText="1"/>
    </xf>
    <xf numFmtId="0" fontId="12" fillId="0" borderId="2" xfId="766" applyFont="1" applyBorder="1" applyAlignment="1">
      <alignment horizontal="left" vertical="center" wrapText="1"/>
    </xf>
    <xf numFmtId="0" fontId="14" fillId="0" borderId="3" xfId="766" applyFont="1" applyBorder="1" applyAlignment="1">
      <alignment horizontal="left" vertical="center"/>
    </xf>
    <xf numFmtId="0" fontId="14" fillId="0" borderId="4" xfId="766" applyFont="1" applyBorder="1" applyAlignment="1">
      <alignment horizontal="left" vertical="center"/>
    </xf>
    <xf numFmtId="0" fontId="0" fillId="0" borderId="2" xfId="788" applyFont="1" applyFill="1" applyBorder="1" applyAlignment="1" applyProtection="1">
      <alignment horizontal="center" vertical="center" wrapText="1"/>
      <protection locked="0"/>
    </xf>
    <xf numFmtId="0" fontId="0" fillId="0" borderId="4" xfId="788" applyFont="1" applyFill="1" applyBorder="1" applyAlignment="1" applyProtection="1">
      <alignment horizontal="center" vertical="center" wrapText="1"/>
      <protection locked="0"/>
    </xf>
    <xf numFmtId="179" fontId="14" fillId="0" borderId="2" xfId="766" applyNumberFormat="1" applyFont="1" applyBorder="1" applyAlignment="1">
      <alignment horizontal="center" vertical="center" wrapText="1"/>
    </xf>
    <xf numFmtId="179" fontId="14" fillId="0" borderId="4" xfId="766" applyNumberFormat="1" applyFont="1" applyBorder="1" applyAlignment="1">
      <alignment horizontal="center" vertical="center" wrapText="1"/>
    </xf>
    <xf numFmtId="0" fontId="114" fillId="0" borderId="1" xfId="766" applyFont="1" applyBorder="1" applyAlignment="1">
      <alignment horizontal="center" vertical="center"/>
    </xf>
    <xf numFmtId="0" fontId="115" fillId="0" borderId="1" xfId="766" applyFont="1" applyBorder="1" applyAlignment="1">
      <alignment horizontal="center" vertical="center"/>
    </xf>
    <xf numFmtId="0" fontId="9" fillId="0" borderId="0" xfId="771" applyFont="1" applyAlignment="1">
      <alignment horizontal="center" vertical="center"/>
    </xf>
    <xf numFmtId="0" fontId="10" fillId="0" borderId="0" xfId="771" applyFont="1" applyFill="1" applyBorder="1" applyAlignment="1">
      <alignment horizontal="left" vertical="center" wrapText="1"/>
    </xf>
    <xf numFmtId="0" fontId="10" fillId="0" borderId="0" xfId="771" applyFont="1" applyFill="1" applyBorder="1" applyAlignment="1">
      <alignment horizontal="left" vertical="center"/>
    </xf>
    <xf numFmtId="0" fontId="13" fillId="0" borderId="0" xfId="771" applyFont="1" applyBorder="1" applyAlignment="1">
      <alignment horizontal="left" vertical="center" wrapText="1"/>
    </xf>
    <xf numFmtId="0" fontId="10" fillId="0" borderId="5" xfId="771" applyFont="1" applyFill="1" applyBorder="1" applyAlignment="1">
      <alignment horizontal="left" vertical="center"/>
    </xf>
    <xf numFmtId="0" fontId="10" fillId="0" borderId="1" xfId="771" applyFont="1" applyBorder="1" applyAlignment="1">
      <alignment horizontal="center" vertical="center"/>
    </xf>
    <xf numFmtId="202" fontId="12" fillId="0" borderId="2" xfId="771" applyNumberFormat="1" applyFont="1" applyBorder="1" applyAlignment="1">
      <alignment horizontal="center" vertical="center"/>
    </xf>
    <xf numFmtId="202" fontId="12" fillId="0" borderId="3" xfId="771" applyNumberFormat="1" applyFont="1" applyBorder="1" applyAlignment="1">
      <alignment horizontal="center" vertical="center"/>
    </xf>
    <xf numFmtId="202" fontId="12" fillId="0" borderId="4" xfId="771" applyNumberFormat="1" applyFont="1" applyBorder="1" applyAlignment="1">
      <alignment horizontal="center" vertical="center"/>
    </xf>
    <xf numFmtId="0" fontId="12" fillId="0" borderId="6" xfId="771" applyFont="1" applyBorder="1" applyAlignment="1">
      <alignment horizontal="left" vertical="center"/>
    </xf>
    <xf numFmtId="0" fontId="2" fillId="0" borderId="0" xfId="788" applyFont="1" applyBorder="1" applyAlignment="1">
      <alignment horizontal="center" vertical="center"/>
    </xf>
    <xf numFmtId="0" fontId="3" fillId="0" borderId="0" xfId="788" applyFont="1" applyBorder="1" applyAlignment="1">
      <alignment horizontal="center" vertical="center"/>
    </xf>
    <xf numFmtId="0" fontId="4" fillId="0" borderId="0" xfId="788" applyFont="1" applyBorder="1" applyAlignment="1">
      <alignment horizontal="left" vertical="center" wrapText="1"/>
    </xf>
    <xf numFmtId="0" fontId="4" fillId="0" borderId="2" xfId="0" applyFont="1" applyBorder="1" applyAlignment="1">
      <alignment horizontal="right" vertical="center" wrapText="1"/>
    </xf>
    <xf numFmtId="0" fontId="4" fillId="0" borderId="3" xfId="0" applyFont="1" applyBorder="1" applyAlignment="1">
      <alignment horizontal="right" vertical="center" wrapText="1"/>
    </xf>
    <xf numFmtId="0" fontId="4" fillId="0" borderId="4" xfId="0" applyFont="1" applyBorder="1" applyAlignment="1">
      <alignment horizontal="right" vertical="center" wrapText="1"/>
    </xf>
    <xf numFmtId="180" fontId="4" fillId="0" borderId="2" xfId="0" applyNumberFormat="1" applyFont="1" applyBorder="1" applyAlignment="1">
      <alignment horizontal="right" vertical="center" wrapText="1"/>
    </xf>
    <xf numFmtId="180" fontId="4" fillId="0" borderId="3" xfId="0" applyNumberFormat="1" applyFont="1" applyBorder="1" applyAlignment="1">
      <alignment horizontal="right" vertical="center" wrapText="1"/>
    </xf>
    <xf numFmtId="180" fontId="4" fillId="0" borderId="4" xfId="0" applyNumberFormat="1" applyFont="1" applyBorder="1" applyAlignment="1">
      <alignment horizontal="right" vertical="center" wrapText="1"/>
    </xf>
    <xf numFmtId="0" fontId="4" fillId="0" borderId="2" xfId="788" applyFont="1" applyBorder="1" applyAlignment="1">
      <alignment horizontal="left" vertical="center"/>
    </xf>
    <xf numFmtId="0" fontId="4" fillId="0" borderId="3" xfId="788" applyFont="1" applyBorder="1" applyAlignment="1">
      <alignment horizontal="left" vertical="center"/>
    </xf>
    <xf numFmtId="0" fontId="4" fillId="0" borderId="4" xfId="788" applyFont="1" applyBorder="1" applyAlignment="1">
      <alignment horizontal="left" vertical="center"/>
    </xf>
    <xf numFmtId="0" fontId="4" fillId="0" borderId="0" xfId="788" applyFont="1" applyAlignment="1">
      <alignment horizontal="right" vertical="center"/>
    </xf>
    <xf numFmtId="0" fontId="4" fillId="0" borderId="2" xfId="0" applyFont="1" applyBorder="1" applyAlignment="1">
      <alignment horizontal="center" vertical="center" wrapText="1"/>
    </xf>
    <xf numFmtId="0" fontId="4" fillId="0" borderId="3" xfId="0" applyFont="1" applyBorder="1" applyAlignment="1">
      <alignment horizontal="center" vertical="center" wrapText="1"/>
    </xf>
    <xf numFmtId="0" fontId="4" fillId="0" borderId="4" xfId="0" applyFont="1" applyBorder="1" applyAlignment="1">
      <alignment horizontal="center" vertical="center" wrapText="1"/>
    </xf>
    <xf numFmtId="0" fontId="7" fillId="0" borderId="28" xfId="788" applyFont="1" applyBorder="1" applyAlignment="1">
      <alignment horizontal="center" vertical="center"/>
    </xf>
  </cellXfs>
  <cellStyles count="1028">
    <cellStyle name="??" xfId="58"/>
    <cellStyle name="?鹎%U龡&amp;H?_x0008__x001c__x001c_?_x0007__x0001__x0001_" xfId="60"/>
    <cellStyle name="@ET_Style?Normal" xfId="62"/>
    <cellStyle name="_0202" xfId="64"/>
    <cellStyle name="_20100326高清市院遂宁检察院1080P配置清单26日改" xfId="56"/>
    <cellStyle name="_Book1" xfId="67"/>
    <cellStyle name="_Book1_1" xfId="55"/>
    <cellStyle name="_Book1_1_Book1" xfId="57"/>
    <cellStyle name="_Book1_2" xfId="68"/>
    <cellStyle name="_Book1_2_Book1" xfId="70"/>
    <cellStyle name="_Book1_3" xfId="73"/>
    <cellStyle name="_Book1_3_Book1" xfId="7"/>
    <cellStyle name="_Book1_4" xfId="78"/>
    <cellStyle name="_Book1_Book1" xfId="76"/>
    <cellStyle name="_ET_STYLE_NoName_00_" xfId="53"/>
    <cellStyle name="_ET_STYLE_NoName_00__Book1" xfId="51"/>
    <cellStyle name="_ET_STYLE_NoName_00__Book1_1" xfId="81"/>
    <cellStyle name="_ET_STYLE_NoName_00__Book1_2" xfId="82"/>
    <cellStyle name="_ET_STYLE_NoName_00__Sheet3" xfId="18"/>
    <cellStyle name="_计财部审批要件" xfId="84"/>
    <cellStyle name="_弱电系统设备配置报价清单" xfId="48"/>
    <cellStyle name="0,0_x000d__x000a_NA_x000d__x000a_" xfId="25"/>
    <cellStyle name="20% - Accent1" xfId="86"/>
    <cellStyle name="20% - Accent1 2" xfId="88"/>
    <cellStyle name="20% - Accent2" xfId="91"/>
    <cellStyle name="20% - Accent2 2" xfId="92"/>
    <cellStyle name="20% - Accent3" xfId="94"/>
    <cellStyle name="20% - Accent3 2" xfId="33"/>
    <cellStyle name="20% - Accent4" xfId="95"/>
    <cellStyle name="20% - Accent4 2" xfId="97"/>
    <cellStyle name="20% - Accent5" xfId="99"/>
    <cellStyle name="20% - Accent5 2" xfId="101"/>
    <cellStyle name="20% - Accent6" xfId="104"/>
    <cellStyle name="20% - Accent6 2" xfId="106"/>
    <cellStyle name="20% - 强调文字颜色 1 2" xfId="109"/>
    <cellStyle name="20% - 强调文字颜色 1 3" xfId="89"/>
    <cellStyle name="20% - 强调文字颜色 2 2" xfId="110"/>
    <cellStyle name="20% - 强调文字颜色 2 3" xfId="93"/>
    <cellStyle name="20% - 强调文字颜色 3 2" xfId="79"/>
    <cellStyle name="20% - 强调文字颜色 3 3" xfId="34"/>
    <cellStyle name="20% - 强调文字颜色 4 2" xfId="111"/>
    <cellStyle name="20% - 强调文字颜色 4 3" xfId="98"/>
    <cellStyle name="20% - 强调文字颜色 5 2" xfId="113"/>
    <cellStyle name="20% - 强调文字颜色 5 3" xfId="102"/>
    <cellStyle name="20% - 强调文字颜色 6 2" xfId="114"/>
    <cellStyle name="20% - 强调文字颜色 6 3" xfId="107"/>
    <cellStyle name="40% - Accent1" xfId="116"/>
    <cellStyle name="40% - Accent1 2" xfId="117"/>
    <cellStyle name="40% - Accent2" xfId="120"/>
    <cellStyle name="40% - Accent2 2" xfId="121"/>
    <cellStyle name="40% - Accent3" xfId="122"/>
    <cellStyle name="40% - Accent3 2" xfId="123"/>
    <cellStyle name="40% - Accent4" xfId="124"/>
    <cellStyle name="40% - Accent4 2" xfId="127"/>
    <cellStyle name="40% - Accent5" xfId="129"/>
    <cellStyle name="40% - Accent5 2" xfId="130"/>
    <cellStyle name="40% - Accent6" xfId="132"/>
    <cellStyle name="40% - Accent6 2" xfId="133"/>
    <cellStyle name="40% - 强调文字颜色 1 2" xfId="134"/>
    <cellStyle name="40% - 强调文字颜色 1 3" xfId="136"/>
    <cellStyle name="40% - 强调文字颜色 2 2" xfId="138"/>
    <cellStyle name="40% - 强调文字颜色 2 3" xfId="139"/>
    <cellStyle name="40% - 强调文字颜色 3 2" xfId="141"/>
    <cellStyle name="40% - 强调文字颜色 3 3" xfId="142"/>
    <cellStyle name="40% - 强调文字颜色 4 2" xfId="30"/>
    <cellStyle name="40% - 强调文字颜色 4 3" xfId="145"/>
    <cellStyle name="40% - 强调文字颜色 5 2" xfId="149"/>
    <cellStyle name="40% - 强调文字颜色 5 3" xfId="150"/>
    <cellStyle name="40% - 强调文字颜色 6 2" xfId="153"/>
    <cellStyle name="40% - 强调文字颜色 6 3" xfId="155"/>
    <cellStyle name="60% - Accent1" xfId="157"/>
    <cellStyle name="60% - Accent1 2" xfId="159"/>
    <cellStyle name="60% - Accent2" xfId="162"/>
    <cellStyle name="60% - Accent2 2" xfId="166"/>
    <cellStyle name="60% - Accent3" xfId="169"/>
    <cellStyle name="60% - Accent3 2" xfId="172"/>
    <cellStyle name="60% - Accent4" xfId="174"/>
    <cellStyle name="60% - Accent4 2" xfId="177"/>
    <cellStyle name="60% - Accent5" xfId="179"/>
    <cellStyle name="60% - Accent5 2" xfId="180"/>
    <cellStyle name="60% - Accent6" xfId="183"/>
    <cellStyle name="60% - Accent6 2" xfId="186"/>
    <cellStyle name="60% - 强调文字颜色 1 2" xfId="189"/>
    <cellStyle name="60% - 强调文字颜色 1 3" xfId="192"/>
    <cellStyle name="60% - 强调文字颜色 2 2" xfId="194"/>
    <cellStyle name="60% - 强调文字颜色 2 3" xfId="19"/>
    <cellStyle name="60% - 强调文字颜色 3 2" xfId="195"/>
    <cellStyle name="60% - 强调文字颜色 3 3" xfId="198"/>
    <cellStyle name="60% - 强调文字颜色 4 2" xfId="200"/>
    <cellStyle name="60% - 强调文字颜色 4 3" xfId="203"/>
    <cellStyle name="60% - 强调文字颜色 5 2" xfId="204"/>
    <cellStyle name="60% - 强调文字颜色 5 3" xfId="207"/>
    <cellStyle name="60% - 强调文字颜色 6 2" xfId="209"/>
    <cellStyle name="60% - 强调文字颜色 6 3" xfId="210"/>
    <cellStyle name="6mal" xfId="211"/>
    <cellStyle name="Accent1" xfId="137"/>
    <cellStyle name="Accent1 - 20%" xfId="87"/>
    <cellStyle name="Accent1 - 20% 2" xfId="90"/>
    <cellStyle name="Accent1 - 40%" xfId="212"/>
    <cellStyle name="Accent1 - 40% 2" xfId="214"/>
    <cellStyle name="Accent1 - 60%" xfId="216"/>
    <cellStyle name="Accent1 - 60% 2" xfId="217"/>
    <cellStyle name="Accent1 2" xfId="218"/>
    <cellStyle name="Accent1_Book1" xfId="26"/>
    <cellStyle name="Accent2" xfId="219"/>
    <cellStyle name="Accent2 - 20%" xfId="69"/>
    <cellStyle name="Accent2 - 20% 2" xfId="220"/>
    <cellStyle name="Accent2 - 40%" xfId="9"/>
    <cellStyle name="Accent2 - 40% 2" xfId="39"/>
    <cellStyle name="Accent2 - 60%" xfId="14"/>
    <cellStyle name="Accent2 - 60% 2" xfId="221"/>
    <cellStyle name="Accent2 2" xfId="222"/>
    <cellStyle name="Accent2_Book1" xfId="223"/>
    <cellStyle name="Accent3" xfId="226"/>
    <cellStyle name="Accent3 - 20%" xfId="229"/>
    <cellStyle name="Accent3 - 20% 2" xfId="232"/>
    <cellStyle name="Accent3 - 40%" xfId="234"/>
    <cellStyle name="Accent3 - 40% 2" xfId="238"/>
    <cellStyle name="Accent3 - 60%" xfId="240"/>
    <cellStyle name="Accent3 - 60% 2" xfId="242"/>
    <cellStyle name="Accent3 2" xfId="243"/>
    <cellStyle name="Accent3_Book1" xfId="245"/>
    <cellStyle name="Accent4" xfId="246"/>
    <cellStyle name="Accent4 - 20%" xfId="248"/>
    <cellStyle name="Accent4 - 20% 2" xfId="250"/>
    <cellStyle name="Accent4 - 40%" xfId="252"/>
    <cellStyle name="Accent4 - 40% 2" xfId="253"/>
    <cellStyle name="Accent4 - 60%" xfId="257"/>
    <cellStyle name="Accent4 - 60% 2" xfId="259"/>
    <cellStyle name="Accent4 2" xfId="260"/>
    <cellStyle name="Accent4_Book1" xfId="167"/>
    <cellStyle name="Accent5" xfId="263"/>
    <cellStyle name="Accent5 - 20%" xfId="83"/>
    <cellStyle name="Accent5 - 20% 2" xfId="265"/>
    <cellStyle name="Accent5 - 40%" xfId="268"/>
    <cellStyle name="Accent5 - 40% 2" xfId="197"/>
    <cellStyle name="Accent5 - 60%" xfId="270"/>
    <cellStyle name="Accent5 - 60% 2" xfId="272"/>
    <cellStyle name="Accent5 2" xfId="230"/>
    <cellStyle name="Accent5_Book1" xfId="59"/>
    <cellStyle name="Accent6" xfId="261"/>
    <cellStyle name="Accent6 - 20%" xfId="273"/>
    <cellStyle name="Accent6 - 20% 2" xfId="146"/>
    <cellStyle name="Accent6 - 40%" xfId="255"/>
    <cellStyle name="Accent6 - 40% 2" xfId="276"/>
    <cellStyle name="Accent6 - 60%" xfId="278"/>
    <cellStyle name="Accent6 - 60% 2" xfId="96"/>
    <cellStyle name="Accent6 2" xfId="27"/>
    <cellStyle name="Accent6_Book1" xfId="201"/>
    <cellStyle name="args.style" xfId="5"/>
    <cellStyle name="Bad" xfId="171"/>
    <cellStyle name="Bad 2" xfId="279"/>
    <cellStyle name="Calc Currency (0)" xfId="280"/>
    <cellStyle name="Calculation" xfId="281"/>
    <cellStyle name="Calculation 2" xfId="285"/>
    <cellStyle name="Check Cell" xfId="290"/>
    <cellStyle name="Check Cell 2" xfId="291"/>
    <cellStyle name="ColLevel_0" xfId="61"/>
    <cellStyle name="Comma [0]" xfId="292"/>
    <cellStyle name="comma zerodec" xfId="294"/>
    <cellStyle name="Comma_!!!GO" xfId="295"/>
    <cellStyle name="Currency [0]" xfId="31"/>
    <cellStyle name="Currency_!!!GO" xfId="296"/>
    <cellStyle name="Currency1" xfId="299"/>
    <cellStyle name="Date" xfId="300"/>
    <cellStyle name="Dollar (zero dec)" xfId="303"/>
    <cellStyle name="Explanatory Text" xfId="304"/>
    <cellStyle name="Explanatory Text 2" xfId="306"/>
    <cellStyle name="e鯪9Y_x000b_" xfId="308"/>
    <cellStyle name="e鯪9Y_x000b_ 2" xfId="309"/>
    <cellStyle name="e鯪9Y_x000b_ 2 2" xfId="193"/>
    <cellStyle name="e鯪9Y_x000b__Book1" xfId="205"/>
    <cellStyle name="Fixed" xfId="310"/>
    <cellStyle name="gcd" xfId="312"/>
    <cellStyle name="Good" xfId="314"/>
    <cellStyle name="Good 2" xfId="317"/>
    <cellStyle name="Grey" xfId="318"/>
    <cellStyle name="Header1" xfId="321"/>
    <cellStyle name="Header2" xfId="322"/>
    <cellStyle name="Heading 1" xfId="74"/>
    <cellStyle name="Heading 1 2" xfId="325"/>
    <cellStyle name="Heading 2" xfId="80"/>
    <cellStyle name="Heading 2 2" xfId="326"/>
    <cellStyle name="Heading 3" xfId="35"/>
    <cellStyle name="Heading 3 2" xfId="49"/>
    <cellStyle name="Heading 4" xfId="191"/>
    <cellStyle name="Heading 4 2" xfId="328"/>
    <cellStyle name="HEADING1" xfId="329"/>
    <cellStyle name="HEADING2" xfId="332"/>
    <cellStyle name="Input" xfId="29"/>
    <cellStyle name="Input [yellow]" xfId="335"/>
    <cellStyle name="Input 2" xfId="13"/>
    <cellStyle name="Input Cells" xfId="336"/>
    <cellStyle name="Linked Cell" xfId="72"/>
    <cellStyle name="Linked Cell 2" xfId="338"/>
    <cellStyle name="Linked Cells" xfId="340"/>
    <cellStyle name="Millares [0]_96 Risk" xfId="341"/>
    <cellStyle name="Millares_96 Risk" xfId="344"/>
    <cellStyle name="Milliers [0]_!!!GO" xfId="345"/>
    <cellStyle name="Milliers_!!!GO" xfId="231"/>
    <cellStyle name="Moneda [0]_96 Risk" xfId="346"/>
    <cellStyle name="Moneda_96 Risk" xfId="348"/>
    <cellStyle name="Mon閠aire [0]_!!!GO" xfId="236"/>
    <cellStyle name="Mon閠aire_!!!GO" xfId="112"/>
    <cellStyle name="Neutral" xfId="202"/>
    <cellStyle name="Neutral 2" xfId="350"/>
    <cellStyle name="New Times Roman" xfId="351"/>
    <cellStyle name="no dec" xfId="286"/>
    <cellStyle name="Norma,_laroux_4_营业在建 (2)_E21" xfId="353"/>
    <cellStyle name="Normal - Style1" xfId="125"/>
    <cellStyle name="Normal_!!!GO" xfId="356"/>
    <cellStyle name="Note" xfId="357"/>
    <cellStyle name="Note 2" xfId="361"/>
    <cellStyle name="Output" xfId="364"/>
    <cellStyle name="Output 2" xfId="337"/>
    <cellStyle name="per.style" xfId="175"/>
    <cellStyle name="Percent [2]" xfId="365"/>
    <cellStyle name="Percent_!!!GO" xfId="366"/>
    <cellStyle name="Pourcentage_pldt" xfId="362"/>
    <cellStyle name="PSChar" xfId="40"/>
    <cellStyle name="PSDate" xfId="367"/>
    <cellStyle name="PSDec" xfId="85"/>
    <cellStyle name="PSHeading" xfId="283"/>
    <cellStyle name="PSInt" xfId="176"/>
    <cellStyle name="PSSpacer" xfId="369"/>
    <cellStyle name="RowLevel_0" xfId="371"/>
    <cellStyle name="sstot" xfId="374"/>
    <cellStyle name="Standard_AREAS" xfId="377"/>
    <cellStyle name="t" xfId="185"/>
    <cellStyle name="t_HVAC Equipment (3)" xfId="378"/>
    <cellStyle name="Title" xfId="380"/>
    <cellStyle name="Title 2" xfId="163"/>
    <cellStyle name="Total" xfId="382"/>
    <cellStyle name="Warning Text" xfId="384"/>
    <cellStyle name="Warning Text 2" xfId="385"/>
    <cellStyle name="เครื่องหมายจุลภาค [0]_PERSONAL" xfId="387"/>
    <cellStyle name="เครื่องหมายจุลภาค_PERSONAL" xfId="386"/>
    <cellStyle name="เครื่องหมายสกุลเงิน [0]_PERSONAL" xfId="375"/>
    <cellStyle name="เครื่องหมายสกุลเงิน_PERSONAL" xfId="390"/>
    <cellStyle name="ปกติ_PERSONAL" xfId="391"/>
    <cellStyle name="百分比 2" xfId="393"/>
    <cellStyle name="百分比 2 2" xfId="388"/>
    <cellStyle name="百分比 3" xfId="396"/>
    <cellStyle name="百分比 3 2" xfId="397"/>
    <cellStyle name="百分比 4" xfId="23"/>
    <cellStyle name="百分比 4 2" xfId="398"/>
    <cellStyle name="捠壿 [0.00]_Region Orders (2)" xfId="258"/>
    <cellStyle name="捠壿_Region Orders (2)" xfId="400"/>
    <cellStyle name="编号" xfId="402"/>
    <cellStyle name="标题 1 2" xfId="399"/>
    <cellStyle name="标题 1 3" xfId="233"/>
    <cellStyle name="标题 2 2" xfId="320"/>
    <cellStyle name="标题 2 3" xfId="404"/>
    <cellStyle name="标题 3 2" xfId="405"/>
    <cellStyle name="标题 3 3" xfId="407"/>
    <cellStyle name="标题 4 2" xfId="409"/>
    <cellStyle name="标题 4 3" xfId="412"/>
    <cellStyle name="标题 5" xfId="360"/>
    <cellStyle name="标题 5 2" xfId="414"/>
    <cellStyle name="标题 6" xfId="415"/>
    <cellStyle name="标题1" xfId="419"/>
    <cellStyle name="表标题" xfId="420"/>
    <cellStyle name="表标题 2" xfId="422"/>
    <cellStyle name="部门" xfId="164"/>
    <cellStyle name="差 2" xfId="423"/>
    <cellStyle name="差 3" xfId="424"/>
    <cellStyle name="差_~4190974" xfId="427"/>
    <cellStyle name="差_~4190974 2" xfId="429"/>
    <cellStyle name="差_~5676413" xfId="432"/>
    <cellStyle name="差_~5676413 2" xfId="168"/>
    <cellStyle name="差_00省级(打印)" xfId="370"/>
    <cellStyle name="差_00省级(打印) 2" xfId="433"/>
    <cellStyle name="差_00省级(定稿)" xfId="434"/>
    <cellStyle name="差_00省级(定稿) 2" xfId="63"/>
    <cellStyle name="差_03昭通" xfId="154"/>
    <cellStyle name="差_03昭通 2" xfId="428"/>
    <cellStyle name="差_0502通海县" xfId="435"/>
    <cellStyle name="差_0502通海县 2" xfId="436"/>
    <cellStyle name="差_05玉溪" xfId="439"/>
    <cellStyle name="差_05玉溪 2" xfId="441"/>
    <cellStyle name="差_0605石屏县" xfId="442"/>
    <cellStyle name="差_0605石屏县 2" xfId="443"/>
    <cellStyle name="差_1003牟定县" xfId="160"/>
    <cellStyle name="差_1003牟定县 2" xfId="444"/>
    <cellStyle name="差_1110洱源县" xfId="305"/>
    <cellStyle name="差_1110洱源县 2" xfId="307"/>
    <cellStyle name="差_11大理" xfId="392"/>
    <cellStyle name="差_11大理 2" xfId="10"/>
    <cellStyle name="差_2、土地面积、人口、粮食产量基本情况" xfId="445"/>
    <cellStyle name="差_2、土地面积、人口、粮食产量基本情况 2" xfId="446"/>
    <cellStyle name="差_2006年分析表" xfId="20"/>
    <cellStyle name="差_2006年基础数据" xfId="213"/>
    <cellStyle name="差_2006年基础数据 2" xfId="215"/>
    <cellStyle name="差_2006年全省财力计算表（中央、决算）" xfId="45"/>
    <cellStyle name="差_2006年全省财力计算表（中央、决算） 2" xfId="206"/>
    <cellStyle name="差_2006年水利统计指标统计表" xfId="447"/>
    <cellStyle name="差_2006年水利统计指标统计表 2" xfId="11"/>
    <cellStyle name="差_2006年在职人员情况" xfId="448"/>
    <cellStyle name="差_2006年在职人员情况 2" xfId="449"/>
    <cellStyle name="差_2007年检察院案件数" xfId="227"/>
    <cellStyle name="差_2007年检察院案件数 2" xfId="244"/>
    <cellStyle name="差_2007年可用财力" xfId="108"/>
    <cellStyle name="差_2007年人员分部门统计表" xfId="451"/>
    <cellStyle name="差_2007年人员分部门统计表 2" xfId="452"/>
    <cellStyle name="差_2007年政法部门业务指标" xfId="22"/>
    <cellStyle name="差_2007年政法部门业务指标 2" xfId="410"/>
    <cellStyle name="差_2008年县级公安保障标准落实奖励经费分配测算" xfId="372"/>
    <cellStyle name="差_2008云南省分县市中小学教职工统计表（教育厅提供）" xfId="454"/>
    <cellStyle name="差_2008云南省分县市中小学教职工统计表（教育厅提供） 2" xfId="143"/>
    <cellStyle name="差_2009年一般性转移支付标准工资" xfId="456"/>
    <cellStyle name="差_2009年一般性转移支付标准工资 2" xfId="28"/>
    <cellStyle name="差_2009年一般性转移支付标准工资_~4190974" xfId="457"/>
    <cellStyle name="差_2009年一般性转移支付标准工资_~4190974 2" xfId="383"/>
    <cellStyle name="差_2009年一般性转移支付标准工资_~5676413" xfId="458"/>
    <cellStyle name="差_2009年一般性转移支付标准工资_~5676413 2" xfId="459"/>
    <cellStyle name="差_2009年一般性转移支付标准工资_不用软件计算9.1不考虑经费管理评价xl" xfId="450"/>
    <cellStyle name="差_2009年一般性转移支付标准工资_不用软件计算9.1不考虑经费管理评价xl 2" xfId="75"/>
    <cellStyle name="差_2009年一般性转移支付标准工资_地方配套按人均增幅控制8.30xl" xfId="188"/>
    <cellStyle name="差_2009年一般性转移支付标准工资_地方配套按人均增幅控制8.30xl 2" xfId="354"/>
    <cellStyle name="差_2009年一般性转移支付标准工资_地方配套按人均增幅控制8.30一般预算平均增幅、人均可用财力平均增幅两次控制、社会治安系数调整、案件数调整xl" xfId="156"/>
    <cellStyle name="差_2009年一般性转移支付标准工资_地方配套按人均增幅控制8.30一般预算平均增幅、人均可用财力平均增幅两次控制、社会治安系数调整、案件数调整xl 2" xfId="460"/>
    <cellStyle name="差_2009年一般性转移支付标准工资_地方配套按人均增幅控制8.31（调整结案率后）xl" xfId="461"/>
    <cellStyle name="差_2009年一般性转移支付标准工资_地方配套按人均增幅控制8.31（调整结案率后）xl 2" xfId="462"/>
    <cellStyle name="差_2009年一般性转移支付标准工资_奖励补助测算5.22测试" xfId="16"/>
    <cellStyle name="差_2009年一般性转移支付标准工资_奖励补助测算5.22测试 2" xfId="394"/>
    <cellStyle name="差_2009年一般性转移支付标准工资_奖励补助测算5.23新" xfId="463"/>
    <cellStyle name="差_2009年一般性转移支付标准工资_奖励补助测算5.23新 2" xfId="464"/>
    <cellStyle name="差_2009年一般性转移支付标准工资_奖励补助测算5.24冯铸" xfId="266"/>
    <cellStyle name="差_2009年一般性转移支付标准工资_奖励补助测算5.24冯铸 2" xfId="465"/>
    <cellStyle name="差_2009年一般性转移支付标准工资_奖励补助测算7.23" xfId="349"/>
    <cellStyle name="差_2009年一般性转移支付标准工资_奖励补助测算7.23 2" xfId="466"/>
    <cellStyle name="差_2009年一般性转移支付标准工资_奖励补助测算7.25" xfId="425"/>
    <cellStyle name="差_2009年一般性转移支付标准工资_奖励补助测算7.25 (version 1) (version 1)" xfId="467"/>
    <cellStyle name="差_2009年一般性转移支付标准工资_奖励补助测算7.25 (version 1) (version 1) 2" xfId="50"/>
    <cellStyle name="差_2009年一般性转移支付标准工资_奖励补助测算7.25 2" xfId="469"/>
    <cellStyle name="差_530623_2006年县级财政报表附表" xfId="282"/>
    <cellStyle name="差_530623_2006年县级财政报表附表 2" xfId="287"/>
    <cellStyle name="差_530629_2006年县级财政报表附表" xfId="470"/>
    <cellStyle name="差_530629_2006年县级财政报表附表 2" xfId="471"/>
    <cellStyle name="差_5334_2006年迪庆县级财政报表附表" xfId="151"/>
    <cellStyle name="差_5334_2006年迪庆县级财政报表附表 2" xfId="208"/>
    <cellStyle name="差_A10状态数据汇总" xfId="472"/>
    <cellStyle name="差_A10状态数据汇总 2" xfId="473"/>
    <cellStyle name="差_A10状态数据汇总_Book1" xfId="269"/>
    <cellStyle name="差_A10状态数据汇总_Book1 2" xfId="199"/>
    <cellStyle name="差_A1-6机构设置表" xfId="3"/>
    <cellStyle name="差_A1-6机构设置表 2" xfId="302"/>
    <cellStyle name="差_A1-6机构设置表（XX采集）" xfId="474"/>
    <cellStyle name="差_A1-6机构设置表（XX采集） 2" xfId="475"/>
    <cellStyle name="差_A1-6机构设置表（XX采集）_Book1" xfId="476"/>
    <cellStyle name="差_A1-6机构设置表（XX采集）_Book1 2" xfId="477"/>
    <cellStyle name="差_A1-6机构设置表_Book1" xfId="298"/>
    <cellStyle name="差_A1-6机构设置表_Book1 2" xfId="478"/>
    <cellStyle name="差_A1院校基本信息表" xfId="480"/>
    <cellStyle name="差_A1院校基本信息表 2" xfId="481"/>
    <cellStyle name="差_A1院校基本信息表（XX采集）" xfId="482"/>
    <cellStyle name="差_A1院校基本信息表（XX采集） 2" xfId="43"/>
    <cellStyle name="差_A1院校基本信息表（XX采集）_Book1" xfId="484"/>
    <cellStyle name="差_A1院校基本信息表（XX采集）_Book1 2" xfId="485"/>
    <cellStyle name="差_A1院校基本信息表_Book1" xfId="431"/>
    <cellStyle name="差_A1院校基本信息表_Book1 2" xfId="486"/>
    <cellStyle name="差_A2院校领导表（领导本人采集）" xfId="284"/>
    <cellStyle name="差_A2院校领导表（领导本人采集） 2" xfId="288"/>
    <cellStyle name="差_A2院校领导表（领导本人采集）_Book1" xfId="489"/>
    <cellStyle name="差_A2院校领导表（领导本人采集）_Book1 2" xfId="342"/>
    <cellStyle name="差_A3基本办学条件表（XX采集）" xfId="491"/>
    <cellStyle name="差_A3基本办学条件表（XX采集） 2" xfId="493"/>
    <cellStyle name="差_A3基本办学条件表（XX采集）_Book1" xfId="100"/>
    <cellStyle name="差_A3基本办学条件表（XX采集）_Book1 2" xfId="103"/>
    <cellStyle name="差_A4-1校内实践基地表（XX采集）" xfId="426"/>
    <cellStyle name="差_A4-1校内实践基地表（XX采集） 2" xfId="468"/>
    <cellStyle name="差_A4-1校内实践基地表（XX采集）_Book1" xfId="495"/>
    <cellStyle name="差_A4-1校内实践基地表（XX采集）_Book1 2" xfId="497"/>
    <cellStyle name="差_A4-2校外实习实训基地表（XX采集）" xfId="368"/>
    <cellStyle name="差_A4-2校外实习实训基地表（XX采集） 2" xfId="498"/>
    <cellStyle name="差_A4-2校外实习实训基地表（XX采集）_Book1" xfId="490"/>
    <cellStyle name="差_A4-2校外实习实训基地表（XX采集）_Book1 2" xfId="492"/>
    <cellStyle name="差_A4-3职业技能鉴定机构表（XX采集）" xfId="499"/>
    <cellStyle name="差_A4-3职业技能鉴定机构表（XX采集） 2" xfId="483"/>
    <cellStyle name="差_A4-3职业技能鉴定机构表（XX采集）_Book1" xfId="500"/>
    <cellStyle name="差_A4-3职业技能鉴定机构表（XX采集）_Book1 2" xfId="501"/>
    <cellStyle name="差_A5-1经费收入表（XX采集）" xfId="502"/>
    <cellStyle name="差_A5-1经费收入表（XX采集） 2" xfId="126"/>
    <cellStyle name="差_A5-1经费收入表（XX采集）_Book1" xfId="503"/>
    <cellStyle name="差_A5-1经费收入表（XX采集）_Book1 2" xfId="505"/>
    <cellStyle name="差_A5-2经费支出表（XX采集）" xfId="506"/>
    <cellStyle name="差_A5-2经费支出表（XX采集） 2" xfId="224"/>
    <cellStyle name="差_A5-2经费支出表（XX采集）_Book1" xfId="507"/>
    <cellStyle name="差_A5-2经费支出表（XX采集）_Book1 2" xfId="12"/>
    <cellStyle name="差_A6-1-1校内专任教师基本情况表（教师本人采集）" xfId="413"/>
    <cellStyle name="差_A6-1-1校内专任教师基本情况表（教师本人采集） 2" xfId="508"/>
    <cellStyle name="差_A6-1-1校内专任教师基本情况表（教师本人采集）_Book1" xfId="509"/>
    <cellStyle name="差_A6-1-1校内专任教师基本情况表（教师本人采集）_Book1 2" xfId="46"/>
    <cellStyle name="差_A6-1-2校内专任教师教学工作量表（教师本人采集）" xfId="358"/>
    <cellStyle name="差_A6-1-2校内专任教师教学工作量表（教师本人采集） 2" xfId="363"/>
    <cellStyle name="差_A6-1-2校内专任教师教学工作量表（教师本人采集）_Book1" xfId="352"/>
    <cellStyle name="差_A6-1-2校内专任教师教学工作量表（教师本人采集）_Book1 2" xfId="237"/>
    <cellStyle name="差_A6-1-3校内专任教师其他情况表（教师本人采集）" xfId="254"/>
    <cellStyle name="差_A6-1-3校内专任教师其他情况表（教师本人采集） 2" xfId="274"/>
    <cellStyle name="差_A6-1-3校内专任教师其他情况表（教师本人采集）_Book1" xfId="416"/>
    <cellStyle name="差_A6-1-3校内专任教师其他情况表（教师本人采集）_Book1 2" xfId="511"/>
    <cellStyle name="差_A6-2-1校内兼课人员基本情况表（教师本人采集）" xfId="453"/>
    <cellStyle name="差_A6-2-1校内兼课人员基本情况表（教师本人采集） 2" xfId="512"/>
    <cellStyle name="差_A6-2-1校内兼课人员基本情况表（教师本人采集）_Book1" xfId="158"/>
    <cellStyle name="差_A6-2-1校内兼课人员基本情况表（教师本人采集）_Book1 2" xfId="161"/>
    <cellStyle name="差_A6-2-2校内兼课人员教学工作量表（教师本人采集）" xfId="275"/>
    <cellStyle name="差_A6-2-2校内兼课人员教学工作量表（教师本人采集） 2" xfId="513"/>
    <cellStyle name="差_A6-2-2校内兼课人员教学工作量表（教师本人采集）_Book1" xfId="514"/>
    <cellStyle name="差_A6-2-2校内兼课人员教学工作量表（教师本人采集）_Book1 2" xfId="515"/>
    <cellStyle name="差_A6-2-3校内兼课人员其他情况表" xfId="516"/>
    <cellStyle name="差_A6-2-3校内兼课人员其他情况表 2" xfId="376"/>
    <cellStyle name="差_A6-2-3校内兼课人员其他情况表（教师本人采集）" xfId="517"/>
    <cellStyle name="差_A6-2-3校内兼课人员其他情况表（教师本人采集） 2" xfId="518"/>
    <cellStyle name="差_A6-2-3校内兼课人员其他情况表（教师本人采集）_Book1" xfId="519"/>
    <cellStyle name="差_A6-2-3校内兼课人员其他情况表（教师本人采集）_Book1 2" xfId="228"/>
    <cellStyle name="差_A6-2-3校内兼课人员其他情况表_Book1" xfId="520"/>
    <cellStyle name="差_A6-2-3校内兼课人员其他情况表_Book1 2" xfId="521"/>
    <cellStyle name="差_A6-3-1校外兼职教师基本情况表（教师本人采集）" xfId="455"/>
    <cellStyle name="差_A6-3-1校外兼职教师基本情况表（教师本人采集） 2" xfId="144"/>
    <cellStyle name="差_A6-3-1校外兼职教师基本情况表（教师本人采集）_Book1" xfId="381"/>
    <cellStyle name="差_A6-3-1校外兼职教师基本情况表（教师本人采集）_Book1 2" xfId="165"/>
    <cellStyle name="差_A6-3-2校外兼职教师教学工作量表（教师本人采集）" xfId="523"/>
    <cellStyle name="差_A6-3-2校外兼职教师教学工作量表（教师本人采集） 2" xfId="41"/>
    <cellStyle name="差_A6-3-2校外兼职教师教学工作量表（教师本人采集）_Book1" xfId="249"/>
    <cellStyle name="差_A6-3-2校外兼职教师教学工作量表（教师本人采集）_Book1 2" xfId="251"/>
    <cellStyle name="差_A6-4-1校外兼课教师基本情况表（教师本人采集）" xfId="524"/>
    <cellStyle name="差_A6-4-1校外兼课教师基本情况表（教师本人采集） 2" xfId="140"/>
    <cellStyle name="差_A6-4-1校外兼课教师基本情况表（教师本人采集）_Book1" xfId="330"/>
    <cellStyle name="差_A6-4-1校外兼课教师基本情况表（教师本人采集）_Book1 2" xfId="522"/>
    <cellStyle name="差_A6-4-2校外兼课教师教学工作量表（教师本人采集）" xfId="256"/>
    <cellStyle name="差_A6-4-2校外兼课教师教学工作量表（教师本人采集） 2" xfId="277"/>
    <cellStyle name="差_A6-4-2校外兼课教师教学工作量表（教师本人采集）_Book1" xfId="417"/>
    <cellStyle name="差_A6-4-2校外兼课教师教学工作量表（教师本人采集）_Book1 2" xfId="510"/>
    <cellStyle name="差_A7-1专业设置表（XX采集）" xfId="525"/>
    <cellStyle name="差_A7-1专业设置表（XX采集） 2" xfId="479"/>
    <cellStyle name="差_A7-1专业设置表（XX采集）_Book1" xfId="181"/>
    <cellStyle name="差_A7-1专业设置表（XX采集）_Book1 2" xfId="526"/>
    <cellStyle name="差_A7-2开设课程表（教师本人采集）" xfId="401"/>
    <cellStyle name="差_A7-2开设课程表（教师本人采集） 2" xfId="527"/>
    <cellStyle name="差_A7-2开设课程表（教师本人采集）_Book1" xfId="528"/>
    <cellStyle name="差_A7-2开设课程表（教师本人采集）_Book1 2" xfId="529"/>
    <cellStyle name="差_A7-3职业资格证书表（XX采集）" xfId="530"/>
    <cellStyle name="差_A7-3职业资格证书表（XX采集） 2" xfId="531"/>
    <cellStyle name="差_A7-3职业资格证书表（XX采集）_Book1" xfId="532"/>
    <cellStyle name="差_A7-3职业资格证书表（XX采集）_Book1 2" xfId="533"/>
    <cellStyle name="差_A7-4顶岗实习表（XX采集）" xfId="54"/>
    <cellStyle name="差_A7-4顶岗实习表（XX采集） 2" xfId="534"/>
    <cellStyle name="差_A7-4顶岗实习表（XX采集）_Book1" xfId="52"/>
    <cellStyle name="差_A7-4顶岗实习表（XX采集）_Book1 2" xfId="535"/>
    <cellStyle name="差_A7-5产学合作表（XX采集）" xfId="247"/>
    <cellStyle name="差_A7-5产学合作表（XX采集） 2" xfId="262"/>
    <cellStyle name="差_A7-5产学合作表（XX采集）_Book1" xfId="170"/>
    <cellStyle name="差_A7-5产学合作表（XX采集）_Book1 2" xfId="173"/>
    <cellStyle name="差_A7-6-1招生表" xfId="494"/>
    <cellStyle name="差_A7-6-1招生表 2" xfId="496"/>
    <cellStyle name="差_A7-6-1招生表（XX采集）" xfId="536"/>
    <cellStyle name="差_A7-6-1招生表（XX采集） 2" xfId="537"/>
    <cellStyle name="差_A7-6-1招生表（XX采集）_Book1" xfId="538"/>
    <cellStyle name="差_A7-6-1招生表（XX采集）_Book1 2" xfId="347"/>
    <cellStyle name="差_A7-6-1招生表_Book1" xfId="119"/>
    <cellStyle name="差_A7-6-1招生表_Book1 2" xfId="539"/>
    <cellStyle name="差_A7-6-2就业表（XX采集）" xfId="15"/>
    <cellStyle name="差_A7-6-2就业表（XX采集） 2" xfId="395"/>
    <cellStyle name="差_A7-6-2就业表（XX采集）_Book1" xfId="324"/>
    <cellStyle name="差_A7-6-2就业表（XX采集）_Book1 2" xfId="541"/>
    <cellStyle name="差_A7-7专业总体情况表" xfId="542"/>
    <cellStyle name="差_A7-7专业总体情况表 2" xfId="543"/>
    <cellStyle name="差_A7-7专业总体情况表（XX采集）" xfId="544"/>
    <cellStyle name="差_A7-7专业总体情况表（XX采集） 2" xfId="545"/>
    <cellStyle name="差_A7-7专业总体情况表（XX采集）_Book1" xfId="546"/>
    <cellStyle name="差_A7-7专业总体情况表（XX采集）_Book1 2" xfId="547"/>
    <cellStyle name="差_A7-7专业总体情况表_Book1" xfId="548"/>
    <cellStyle name="差_A7-7专业总体情况表_Book1 2" xfId="549"/>
    <cellStyle name="差_A8-1教学与学生管理文件表（XX采集）" xfId="190"/>
    <cellStyle name="差_A8-1教学与学生管理文件表（XX采集） 2" xfId="327"/>
    <cellStyle name="差_A8-1教学与学生管理文件表（XX采集）_Book1" xfId="550"/>
    <cellStyle name="差_A8-1教学与学生管理文件表（XX采集）_Book1 2" xfId="47"/>
    <cellStyle name="差_A8-2专职教学管理人员基本情况表（本人采集）" xfId="551"/>
    <cellStyle name="差_A8-2专职教学管理人员基本情况表（本人采集） 2" xfId="552"/>
    <cellStyle name="差_A8-2专职教学管理人员基本情况表（本人采集）_Book1" xfId="66"/>
    <cellStyle name="差_A8-2专职教学管理人员基本情况表（本人采集）_Book1 2" xfId="553"/>
    <cellStyle name="差_A8-3专职学生管理人员基本情况表（本人采集）" xfId="554"/>
    <cellStyle name="差_A8-3专职学生管理人员基本情况表（本人采集） 2" xfId="438"/>
    <cellStyle name="差_A8-3专职学生管理人员基本情况表（本人采集）_Book1" xfId="556"/>
    <cellStyle name="差_A8-3专职学生管理人员基本情况表（本人采集）_Book1 2" xfId="559"/>
    <cellStyle name="差_A8-4专职招生就业指导人员基本情况表（本人采集）" xfId="561"/>
    <cellStyle name="差_A8-4专职招生就业指导人员基本情况表（本人采集） 2" xfId="562"/>
    <cellStyle name="差_A8-4专职招生就业指导人员基本情况表（本人采集）_Book1" xfId="563"/>
    <cellStyle name="差_A8-4专职招生就业指导人员基本情况表（本人采集）_Book1 2" xfId="564"/>
    <cellStyle name="差_A8-5专职督导人员基本情况表（本人采集）" xfId="565"/>
    <cellStyle name="差_A8-5专职督导人员基本情况表（本人采集） 2" xfId="44"/>
    <cellStyle name="差_A8-5专职督导人员基本情况表（本人采集）_Book1" xfId="566"/>
    <cellStyle name="差_A8-5专职督导人员基本情况表（本人采集）_Book1 2" xfId="567"/>
    <cellStyle name="差_A8-6专职教学研究人员基本情况表（本人采集）" xfId="568"/>
    <cellStyle name="差_A8-6专职教学研究人员基本情况表（本人采集） 2" xfId="569"/>
    <cellStyle name="差_A8-6专职教学研究人员基本情况表（本人采集）_Book1" xfId="570"/>
    <cellStyle name="差_A8-6专职教学研究人员基本情况表（本人采集）_Book1 2" xfId="571"/>
    <cellStyle name="差_A8-7评教情况表（XX采集）" xfId="572"/>
    <cellStyle name="差_A8-7评教情况表（XX采集） 2" xfId="573"/>
    <cellStyle name="差_A8-7评教情况表（XX采集）_Book1" xfId="574"/>
    <cellStyle name="差_A8-7评教情况表（XX采集）_Book1 2" xfId="575"/>
    <cellStyle name="差_A8-8奖助学情况表（XX采集）" xfId="8"/>
    <cellStyle name="差_A8-8奖助学情况表（XX采集） 2" xfId="576"/>
    <cellStyle name="差_A8-8奖助学情况表（XX采集）_Book1" xfId="577"/>
    <cellStyle name="差_A8-8奖助学情况表（XX采集）_Book1 2" xfId="578"/>
    <cellStyle name="差_A9-1-1招生情况表" xfId="579"/>
    <cellStyle name="差_A9-1-1招生情况表 2" xfId="580"/>
    <cellStyle name="差_A9-1-1招生情况表_Book1" xfId="581"/>
    <cellStyle name="差_A9-1-1招生情况表_Book1 2" xfId="582"/>
    <cellStyle name="差_A9-1-2报考本校原因表" xfId="583"/>
    <cellStyle name="差_A9-1-2报考本校原因表 2" xfId="584"/>
    <cellStyle name="差_A9-1-2报考本校原因表_Book1" xfId="585"/>
    <cellStyle name="差_A9-1-2报考本校原因表_Book1 2" xfId="586"/>
    <cellStyle name="差_A9-1招生情况表" xfId="587"/>
    <cellStyle name="差_A9-1招生情况表 2" xfId="588"/>
    <cellStyle name="差_A9-1招生情况表_Book1" xfId="6"/>
    <cellStyle name="差_A9-1招生情况表_Book1 2" xfId="379"/>
    <cellStyle name="差_A9-2-1学校就业状况" xfId="589"/>
    <cellStyle name="差_A9-2-1学校就业状况 2" xfId="590"/>
    <cellStyle name="差_A9-2-1学校就业状况_Book1" xfId="591"/>
    <cellStyle name="差_A9-2-1学校就业状况_Book1 2" xfId="592"/>
    <cellStyle name="差_A9-2-2不同生源类型的应届毕业生就业率表" xfId="593"/>
    <cellStyle name="差_A9-2-2不同生源类型的应届毕业生就业率表 2" xfId="594"/>
    <cellStyle name="差_A9-2-2不同生源类型的应届毕业生就业率表_Book1" xfId="595"/>
    <cellStyle name="差_A9-2-2不同生源类型的应届毕业生就业率表_Book1 2" xfId="596"/>
    <cellStyle name="差_A9-2-3不同招生方式的应届毕业生就业率表" xfId="597"/>
    <cellStyle name="差_A9-2-3不同招生方式的应届毕业生就业率表 2" xfId="599"/>
    <cellStyle name="差_A9-2-3不同招生方式的应届毕业生就业率表_Book1" xfId="339"/>
    <cellStyle name="差_A9-2-3不同招生方式的应届毕业生就业率表_Book1 2" xfId="601"/>
    <cellStyle name="差_A9-2就业率表" xfId="602"/>
    <cellStyle name="差_A9-2就业率表 2" xfId="604"/>
    <cellStyle name="差_A9-2就业率表_Book1" xfId="605"/>
    <cellStyle name="差_A9-2就业率表_Book1 2" xfId="606"/>
    <cellStyle name="差_A9-3社会捐赠情况表（XX采集）" xfId="555"/>
    <cellStyle name="差_A9-3社会捐赠情况表（XX采集） 2" xfId="437"/>
    <cellStyle name="差_A9-3社会捐赠情况表（XX采集）_Book1" xfId="557"/>
    <cellStyle name="差_A9-3社会捐赠情况表（XX采集）_Book1 2" xfId="560"/>
    <cellStyle name="差_A9-4就业单位与联系人表（XX采集）" xfId="607"/>
    <cellStyle name="差_A9-4就业单位与联系人表（XX采集） 2" xfId="608"/>
    <cellStyle name="差_A9-4就业单位与联系人表（XX采集）_Book1" xfId="609"/>
    <cellStyle name="差_A9-4就业单位与联系人表（XX采集）_Book1 2" xfId="235"/>
    <cellStyle name="差_A9-5上届毕业生信息表" xfId="610"/>
    <cellStyle name="差_A9-5上届毕业生信息表 2" xfId="611"/>
    <cellStyle name="差_A9-5上届毕业生信息表_Book1" xfId="612"/>
    <cellStyle name="差_A9-5上届毕业生信息表_Book1 2" xfId="613"/>
    <cellStyle name="差_A9-5应届毕业生信息表（XX采集）" xfId="614"/>
    <cellStyle name="差_A9-5应届毕业生信息表（XX采集） 2" xfId="616"/>
    <cellStyle name="差_A9-5应届毕业生信息表（XX采集）_Book1" xfId="617"/>
    <cellStyle name="差_A9-5应届毕业生信息表（XX采集）_Book1 2" xfId="618"/>
    <cellStyle name="差_A9-6质量工程" xfId="373"/>
    <cellStyle name="差_A9-6质量工程 2" xfId="619"/>
    <cellStyle name="差_A9-6质量工程_Book1" xfId="620"/>
    <cellStyle name="差_A9-6质量工程_Book1 2" xfId="77"/>
    <cellStyle name="差_A9-6质量工程表（XX采集）" xfId="621"/>
    <cellStyle name="差_A9-6质量工程表（XX采集） 2" xfId="622"/>
    <cellStyle name="差_A9-6质量工程表（XX采集）_Book1" xfId="623"/>
    <cellStyle name="差_A9-6质量工程表（XX采集）_Book1 2" xfId="624"/>
    <cellStyle name="差_A9-7获奖情况表（XX采集）" xfId="625"/>
    <cellStyle name="差_A9-7获奖情况表（XX采集） 2" xfId="626"/>
    <cellStyle name="差_A9-7获奖情况表（XX采集）_Book1" xfId="627"/>
    <cellStyle name="差_A9-7获奖情况表（XX采集）_Book1 2" xfId="628"/>
    <cellStyle name="差_Book1" xfId="629"/>
    <cellStyle name="差_Book1 2" xfId="631"/>
    <cellStyle name="差_Book1_1" xfId="633"/>
    <cellStyle name="差_Book1_1 2" xfId="634"/>
    <cellStyle name="差_Book1_1_Book1" xfId="636"/>
    <cellStyle name="差_Book1_1_Book1 2" xfId="637"/>
    <cellStyle name="差_Book1_1_Book1_1" xfId="638"/>
    <cellStyle name="差_Book1_1_Book1_1 2" xfId="639"/>
    <cellStyle name="差_Book1_1_Book1_1_Book1" xfId="640"/>
    <cellStyle name="差_Book1_1_Book1_2" xfId="641"/>
    <cellStyle name="差_Book1_1_Book1_Book1" xfId="642"/>
    <cellStyle name="差_Book1_2" xfId="643"/>
    <cellStyle name="差_Book1_2 2" xfId="334"/>
    <cellStyle name="差_Book1_2_Book1" xfId="645"/>
    <cellStyle name="差_Book1_2_Book1 2" xfId="646"/>
    <cellStyle name="差_Book1_2_Book1_1" xfId="647"/>
    <cellStyle name="差_Book1_2_Book1_Book1" xfId="649"/>
    <cellStyle name="差_Book1_3" xfId="650"/>
    <cellStyle name="差_Book1_3 2" xfId="651"/>
    <cellStyle name="差_Book1_3_Book1" xfId="652"/>
    <cellStyle name="差_Book1_3_Book1_1" xfId="653"/>
    <cellStyle name="差_Book1_4" xfId="654"/>
    <cellStyle name="差_Book1_4 2" xfId="655"/>
    <cellStyle name="差_Book1_4_Book1" xfId="656"/>
    <cellStyle name="差_Book1_5" xfId="657"/>
    <cellStyle name="差_Book1_6" xfId="658"/>
    <cellStyle name="差_Book1_Book1" xfId="4"/>
    <cellStyle name="差_Book1_Book1 2" xfId="301"/>
    <cellStyle name="差_Book1_Book1_1" xfId="42"/>
    <cellStyle name="差_Book1_Book1_1 2" xfId="148"/>
    <cellStyle name="差_Book1_Book1_Book1" xfId="297"/>
    <cellStyle name="差_Book2" xfId="32"/>
    <cellStyle name="差_Book2 2" xfId="659"/>
    <cellStyle name="差_M01-2(州市补助收入)" xfId="661"/>
    <cellStyle name="差_M01-2(州市补助收入) 2" xfId="558"/>
    <cellStyle name="差_M03" xfId="662"/>
    <cellStyle name="差_M03 2" xfId="663"/>
    <cellStyle name="差_XXXXX_YYYY_状态数据V2.08c000" xfId="267"/>
    <cellStyle name="差_XXXXX_YYYY_状态数据V2.08c000 2" xfId="196"/>
    <cellStyle name="差_XXXXX_YYYY_状态数据V2.08c000_Book1" xfId="38"/>
    <cellStyle name="差_XXXXX_YYYY_状态数据V2.08c000_Book1 2" xfId="664"/>
    <cellStyle name="差_XXXXX_YYYY_状态数据V2.09a001" xfId="666"/>
    <cellStyle name="差_XXXXX_YYYY_状态数据V2.09a001 2" xfId="667"/>
    <cellStyle name="差_XXXXX_YYYY_状态数据V2.09a001_Book1" xfId="668"/>
    <cellStyle name="差_XXXXX_YYYY_状态数据V2.09a001_Book1 2" xfId="669"/>
    <cellStyle name="差_XXXXX_YYYY_状态数据V2.10a001(测试版)0717" xfId="670"/>
    <cellStyle name="差_XXXXX_YYYY_状态数据V2.10a001(测试版)0717 2" xfId="671"/>
    <cellStyle name="差_XXXXX_YYYY_状态数据V2.10a001(测试版)0717_Book1" xfId="672"/>
    <cellStyle name="差_XXXXX_YYYY_状态数据V2.10a001(测试版)0717_Book1 2" xfId="673"/>
    <cellStyle name="差_XXXXX_YYYY_状态数据V2.11a001" xfId="674"/>
    <cellStyle name="差_XXXXX_YYYY_状态数据V2.11a001 2" xfId="675"/>
    <cellStyle name="差_XXXXX_YYYY_状态数据V2.11a001_Book1" xfId="24"/>
    <cellStyle name="差_XXXXX_YYYY_状态数据V2.11a001_Book1 2" xfId="319"/>
    <cellStyle name="差_XXXXX_YYYY_状态数据V2.11a0101" xfId="676"/>
    <cellStyle name="差_XXXXX_YYYY_状态数据V2.11a0101 2" xfId="677"/>
    <cellStyle name="差_XXXXX_YYYY_状态数据V2.11a0101_Book1" xfId="678"/>
    <cellStyle name="差_XXXXX_YYYY_状态数据V2.11a0101_Book1 2" xfId="679"/>
    <cellStyle name="差_碧桂园城市花园四期二十、二十一、二十五、二十六号楼" xfId="680"/>
    <cellStyle name="差_不用软件计算9.1不考虑经费管理评价xl" xfId="681"/>
    <cellStyle name="差_不用软件计算9.1不考虑经费管理评价xl 2" xfId="683"/>
    <cellStyle name="差_财政供养人员" xfId="684"/>
    <cellStyle name="差_财政供养人员 2" xfId="685"/>
    <cellStyle name="差_财政支出对上级的依赖程度" xfId="504"/>
    <cellStyle name="差_采集平台_数据合并伴侣V2.09a002" xfId="686"/>
    <cellStyle name="差_采集平台_数据合并伴侣V2.09a002 2" xfId="687"/>
    <cellStyle name="差_采集平台_数据合并伴侣V2.09a002_Book1" xfId="688"/>
    <cellStyle name="差_采集平台_数据合并伴侣V2.09a002_Book1 2" xfId="682"/>
    <cellStyle name="差_城建部门" xfId="689"/>
    <cellStyle name="差_地方配套按人均增幅控制8.30xl" xfId="690"/>
    <cellStyle name="差_地方配套按人均增幅控制8.30xl 2" xfId="17"/>
    <cellStyle name="差_地方配套按人均增幅控制8.30一般预算平均增幅、人均可用财力平均增幅两次控制、社会治安系数调整、案件数调整xl" xfId="635"/>
    <cellStyle name="差_地方配套按人均增幅控制8.30一般预算平均增幅、人均可用财力平均增幅两次控制、社会治安系数调整、案件数调整xl 2" xfId="691"/>
    <cellStyle name="差_地方配套按人均增幅控制8.31（调整结案率后）xl" xfId="692"/>
    <cellStyle name="差_地方配套按人均增幅控制8.31（调整结案率后）xl 2" xfId="693"/>
    <cellStyle name="差_第五部分(才淼、饶永宏）" xfId="694"/>
    <cellStyle name="差_第五部分(才淼、饶永宏） 2" xfId="695"/>
    <cellStyle name="差_第一部分：综合全" xfId="696"/>
    <cellStyle name="差_电白县行政中心机关食堂建设项目附表" xfId="697"/>
    <cellStyle name="差_电白县行政中心机关食堂建设项目附表 2" xfId="698"/>
    <cellStyle name="差_高中教师人数（教育厅1.6日提供）" xfId="699"/>
    <cellStyle name="差_高中教师人数（教育厅1.6日提供） 2" xfId="700"/>
    <cellStyle name="差_汇总" xfId="701"/>
    <cellStyle name="差_汇总 2" xfId="702"/>
    <cellStyle name="差_汇总-县级财政报表附表" xfId="703"/>
    <cellStyle name="差_汇总-县级财政报表附表 2" xfId="704"/>
    <cellStyle name="差_基础数据分析" xfId="705"/>
    <cellStyle name="差_基础数据分析 2" xfId="706"/>
    <cellStyle name="差_检验表" xfId="648"/>
    <cellStyle name="差_检验表（调整后）" xfId="707"/>
    <cellStyle name="差_奖励补助测算5.22测试" xfId="708"/>
    <cellStyle name="差_奖励补助测算5.22测试 2" xfId="709"/>
    <cellStyle name="差_奖励补助测算5.23新" xfId="710"/>
    <cellStyle name="差_奖励补助测算5.23新 2" xfId="712"/>
    <cellStyle name="差_奖励补助测算5.24冯铸" xfId="713"/>
    <cellStyle name="差_奖励补助测算5.24冯铸 2" xfId="714"/>
    <cellStyle name="差_奖励补助测算7.23" xfId="715"/>
    <cellStyle name="差_奖励补助测算7.23 2" xfId="716"/>
    <cellStyle name="差_奖励补助测算7.25" xfId="717"/>
    <cellStyle name="差_奖励补助测算7.25 (version 1) (version 1)" xfId="718"/>
    <cellStyle name="差_奖励补助测算7.25 (version 1) (version 1) 2" xfId="289"/>
    <cellStyle name="差_奖励补助测算7.25 2" xfId="719"/>
    <cellStyle name="差_教师绩效工资测算表（离退休按各地上报数测算）2009年1月1日" xfId="21"/>
    <cellStyle name="差_教育厅提供义务教育及高中教师人数（2009年1月6日）" xfId="720"/>
    <cellStyle name="差_教育厅提供义务教育及高中教师人数（2009年1月6日） 2" xfId="721"/>
    <cellStyle name="差_历年教师人数" xfId="722"/>
    <cellStyle name="差_丽江汇总" xfId="723"/>
    <cellStyle name="差_评标报告1" xfId="724"/>
    <cellStyle name="差_评标报告1 2" xfId="725"/>
    <cellStyle name="差_评标结果汇总表" xfId="726"/>
    <cellStyle name="差_评标结果汇总表 2" xfId="727"/>
    <cellStyle name="差_评标结果汇总表英清连阳二" xfId="728"/>
    <cellStyle name="差_评标结果汇总表英清连阳二 2" xfId="36"/>
    <cellStyle name="差_三季度－表二" xfId="729"/>
    <cellStyle name="差_三季度－表二 2" xfId="730"/>
    <cellStyle name="差_投标单位报价汇总表" xfId="731"/>
    <cellStyle name="差_投标单位报价汇总表 2" xfId="615"/>
    <cellStyle name="差_卫生部门" xfId="732"/>
    <cellStyle name="差_卫生部门 2" xfId="733"/>
    <cellStyle name="差_文体广播部门" xfId="734"/>
    <cellStyle name="差_下半年禁毒办案经费分配2544.3万元" xfId="735"/>
    <cellStyle name="差_下半年禁吸戒毒经费1000万元" xfId="736"/>
    <cellStyle name="差_下半年禁吸戒毒经费1000万元 2" xfId="737"/>
    <cellStyle name="差_县级公安机关公用经费标准奖励测算方案（定稿）" xfId="738"/>
    <cellStyle name="差_县级公安机关公用经费标准奖励测算方案（定稿） 2" xfId="740"/>
    <cellStyle name="差_县级基础数据" xfId="741"/>
    <cellStyle name="差_现场记录表" xfId="742"/>
    <cellStyle name="差_现场记录表 2" xfId="744"/>
    <cellStyle name="差_业务工作量指标" xfId="105"/>
    <cellStyle name="差_业务工作量指标 2" xfId="746"/>
    <cellStyle name="差_义务教育阶段教职工人数（教育厅提供最终）" xfId="264"/>
    <cellStyle name="差_义务教育阶段教职工人数（教育厅提供最终） 2" xfId="747"/>
    <cellStyle name="差_云南农村义务教育统计表" xfId="748"/>
    <cellStyle name="差_云南农村义务教育统计表 2" xfId="749"/>
    <cellStyle name="差_云南省2008年中小学教师人数统计表" xfId="750"/>
    <cellStyle name="差_云南省2008年中小学教职工情况（教育厅提供20090101加工整理）" xfId="753"/>
    <cellStyle name="差_云南省2008年中小学教职工情况（教育厅提供20090101加工整理） 2" xfId="755"/>
    <cellStyle name="差_云南省2008年转移支付测算——州市本级考核部分及政策性测算" xfId="756"/>
    <cellStyle name="差_云南省2008年转移支付测算——州市本级考核部分及政策性测算 2" xfId="757"/>
    <cellStyle name="差_指标四" xfId="758"/>
    <cellStyle name="差_指标四 2" xfId="759"/>
    <cellStyle name="差_指标五" xfId="760"/>
    <cellStyle name="常规" xfId="0" builtinId="0"/>
    <cellStyle name="常规 10" xfId="313"/>
    <cellStyle name="常规 10 2" xfId="316"/>
    <cellStyle name="常规 11" xfId="762"/>
    <cellStyle name="常规 11 2" xfId="763"/>
    <cellStyle name="常规 12" xfId="764"/>
    <cellStyle name="常规 12 2" xfId="765"/>
    <cellStyle name="常规 13" xfId="766"/>
    <cellStyle name="常规 13 2" xfId="767"/>
    <cellStyle name="常规 14" xfId="768"/>
    <cellStyle name="常规 15" xfId="769"/>
    <cellStyle name="常规 2" xfId="770"/>
    <cellStyle name="常规 2 2" xfId="771"/>
    <cellStyle name="常规 2 2 2" xfId="772"/>
    <cellStyle name="常规 2 2 2 2" xfId="343"/>
    <cellStyle name="常规 2 2 3" xfId="773"/>
    <cellStyle name="常规 2 2_Book1" xfId="774"/>
    <cellStyle name="常规 2 3" xfId="775"/>
    <cellStyle name="常规 2 3 2" xfId="776"/>
    <cellStyle name="常规 2 4" xfId="777"/>
    <cellStyle name="常规 2 4 2" xfId="778"/>
    <cellStyle name="常规 2 5" xfId="779"/>
    <cellStyle name="常规 2 5 2" xfId="780"/>
    <cellStyle name="常规 2 6" xfId="781"/>
    <cellStyle name="常规 2 6 2" xfId="187"/>
    <cellStyle name="常规 2 7" xfId="782"/>
    <cellStyle name="常规 2 7 2" xfId="65"/>
    <cellStyle name="常规 2 8" xfId="783"/>
    <cellStyle name="常规 2 8 2" xfId="603"/>
    <cellStyle name="常规 2 9" xfId="785"/>
    <cellStyle name="常规 2_Book1" xfId="421"/>
    <cellStyle name="常规 22" xfId="787"/>
    <cellStyle name="常规 3" xfId="788"/>
    <cellStyle name="常规 3 2" xfId="789"/>
    <cellStyle name="常规 3 2 2" xfId="790"/>
    <cellStyle name="常规 3 3" xfId="791"/>
    <cellStyle name="常规 3 3 2" xfId="743"/>
    <cellStyle name="常规 3 4" xfId="792"/>
    <cellStyle name="常规 3_Book1" xfId="793"/>
    <cellStyle name="常规 4" xfId="794"/>
    <cellStyle name="常规 4 2" xfId="795"/>
    <cellStyle name="常规 5" xfId="796"/>
    <cellStyle name="常规 5 2" xfId="797"/>
    <cellStyle name="常规 5 2 2" xfId="798"/>
    <cellStyle name="常规 5 3" xfId="799"/>
    <cellStyle name="常规 5 4" xfId="800"/>
    <cellStyle name="常规 5_Book1" xfId="801"/>
    <cellStyle name="常规 6" xfId="802"/>
    <cellStyle name="常规 6 2" xfId="803"/>
    <cellStyle name="常规 7" xfId="804"/>
    <cellStyle name="常规 7 2" xfId="805"/>
    <cellStyle name="常规 8" xfId="806"/>
    <cellStyle name="常规 8 2" xfId="808"/>
    <cellStyle name="常规 9" xfId="809"/>
    <cellStyle name="常规 9 2" xfId="135"/>
    <cellStyle name="分级显示行_1_13区汇总" xfId="810"/>
    <cellStyle name="分级显示列_1_Book1" xfId="811"/>
    <cellStyle name="归盒啦_95" xfId="71"/>
    <cellStyle name="好 2" xfId="812"/>
    <cellStyle name="好 3" xfId="813"/>
    <cellStyle name="好_~4190974" xfId="814"/>
    <cellStyle name="好_~4190974 2" xfId="739"/>
    <cellStyle name="好_~5676413" xfId="815"/>
    <cellStyle name="好_~5676413 2" xfId="1"/>
    <cellStyle name="好_00省级(打印)" xfId="418"/>
    <cellStyle name="好_00省级(打印) 2" xfId="817"/>
    <cellStyle name="好_00省级(定稿)" xfId="818"/>
    <cellStyle name="好_00省级(定稿) 2" xfId="819"/>
    <cellStyle name="好_03昭通" xfId="820"/>
    <cellStyle name="好_03昭通 2" xfId="821"/>
    <cellStyle name="好_0502通海县" xfId="822"/>
    <cellStyle name="好_0502通海县 2" xfId="823"/>
    <cellStyle name="好_05玉溪" xfId="824"/>
    <cellStyle name="好_05玉溪 2" xfId="754"/>
    <cellStyle name="好_0605石屏县" xfId="825"/>
    <cellStyle name="好_0605石屏县 2" xfId="826"/>
    <cellStyle name="好_1003牟定县" xfId="827"/>
    <cellStyle name="好_1003牟定县 2" xfId="828"/>
    <cellStyle name="好_1110洱源县" xfId="118"/>
    <cellStyle name="好_1110洱源县 2" xfId="540"/>
    <cellStyle name="好_11大理" xfId="829"/>
    <cellStyle name="好_11大理 2" xfId="751"/>
    <cellStyle name="好_2、土地面积、人口、粮食产量基本情况" xfId="831"/>
    <cellStyle name="好_2、土地面积、人口、粮食产量基本情况 2" xfId="832"/>
    <cellStyle name="好_2006年分析表" xfId="147"/>
    <cellStyle name="好_2006年基础数据" xfId="833"/>
    <cellStyle name="好_2006年基础数据 2" xfId="834"/>
    <cellStyle name="好_2006年全省财力计算表（中央、决算）" xfId="836"/>
    <cellStyle name="好_2006年全省财力计算表（中央、决算） 2" xfId="837"/>
    <cellStyle name="好_2006年水利统计指标统计表" xfId="838"/>
    <cellStyle name="好_2006年水利统计指标统计表 2" xfId="839"/>
    <cellStyle name="好_2006年在职人员情况" xfId="840"/>
    <cellStyle name="好_2006年在职人员情况 2" xfId="841"/>
    <cellStyle name="好_2007年检察院案件数" xfId="843"/>
    <cellStyle name="好_2007年检察院案件数 2" xfId="844"/>
    <cellStyle name="好_2007年可用财力" xfId="845"/>
    <cellStyle name="好_2007年人员分部门统计表" xfId="846"/>
    <cellStyle name="好_2007年人员分部门统计表 2" xfId="323"/>
    <cellStyle name="好_2007年政法部门业务指标" xfId="847"/>
    <cellStyle name="好_2007年政法部门业务指标 2" xfId="403"/>
    <cellStyle name="好_2008年县级公安保障标准落实奖励经费分配测算" xfId="848"/>
    <cellStyle name="好_2008云南省分县市中小学教职工统计表（教育厅提供）" xfId="849"/>
    <cellStyle name="好_2008云南省分县市中小学教职工统计表（教育厅提供） 2" xfId="850"/>
    <cellStyle name="好_2009年一般性转移支付标准工资" xfId="851"/>
    <cellStyle name="好_2009年一般性转移支付标准工资 2" xfId="852"/>
    <cellStyle name="好_2009年一般性转移支付标准工资_~4190974" xfId="239"/>
    <cellStyle name="好_2009年一般性转移支付标准工资_~4190974 2" xfId="241"/>
    <cellStyle name="好_2009年一般性转移支付标准工资_~5676413" xfId="853"/>
    <cellStyle name="好_2009年一般性转移支付标准工资_~5676413 2" xfId="854"/>
    <cellStyle name="好_2009年一般性转移支付标准工资_不用软件计算9.1不考虑经费管理评价xl" xfId="644"/>
    <cellStyle name="好_2009年一般性转移支付标准工资_不用软件计算9.1不考虑经费管理评价xl 2" xfId="333"/>
    <cellStyle name="好_2009年一般性转移支付标准工资_地方配套按人均增幅控制8.30xl" xfId="487"/>
    <cellStyle name="好_2009年一般性转移支付标准工资_地方配套按人均增幅控制8.30xl 2" xfId="855"/>
    <cellStyle name="好_2009年一般性转移支付标准工资_地方配套按人均增幅控制8.30一般预算平均增幅、人均可用财力平均增幅两次控制、社会治安系数调整、案件数调整xl" xfId="856"/>
    <cellStyle name="好_2009年一般性转移支付标准工资_地方配套按人均增幅控制8.30一般预算平均增幅、人均可用财力平均增幅两次控制、社会治安系数调整、案件数调整xl 2" xfId="857"/>
    <cellStyle name="好_2009年一般性转移支付标准工资_地方配套按人均增幅控制8.31（调整结案率后）xl" xfId="858"/>
    <cellStyle name="好_2009年一般性转移支付标准工资_地方配套按人均增幅控制8.31（调整结案率后）xl 2" xfId="859"/>
    <cellStyle name="好_2009年一般性转移支付标准工资_奖励补助测算5.22测试" xfId="860"/>
    <cellStyle name="好_2009年一般性转移支付标准工资_奖励补助测算5.22测试 2" xfId="225"/>
    <cellStyle name="好_2009年一般性转移支付标准工资_奖励补助测算5.23新" xfId="861"/>
    <cellStyle name="好_2009年一般性转移支付标准工资_奖励补助测算5.23新 2" xfId="331"/>
    <cellStyle name="好_2009年一般性转移支付标准工资_奖励补助测算5.24冯铸" xfId="862"/>
    <cellStyle name="好_2009年一般性转移支付标准工资_奖励补助测算5.24冯铸 2" xfId="863"/>
    <cellStyle name="好_2009年一般性转移支付标准工资_奖励补助测算7.23" xfId="864"/>
    <cellStyle name="好_2009年一般性转移支付标准工资_奖励补助测算7.23 2" xfId="865"/>
    <cellStyle name="好_2009年一般性转移支付标准工资_奖励补助测算7.25" xfId="866"/>
    <cellStyle name="好_2009年一般性转移支付标准工资_奖励补助测算7.25 (version 1) (version 1)" xfId="867"/>
    <cellStyle name="好_2009年一般性转移支付标准工资_奖励补助测算7.25 (version 1) (version 1) 2" xfId="868"/>
    <cellStyle name="好_2009年一般性转移支付标准工资_奖励补助测算7.25 2" xfId="869"/>
    <cellStyle name="好_530623_2006年县级财政报表附表" xfId="870"/>
    <cellStyle name="好_530623_2006年县级财政报表附表 2" xfId="871"/>
    <cellStyle name="好_530629_2006年县级财政报表附表" xfId="872"/>
    <cellStyle name="好_530629_2006年县级财政报表附表 2" xfId="873"/>
    <cellStyle name="好_5334_2006年迪庆县级财政报表附表" xfId="874"/>
    <cellStyle name="好_5334_2006年迪庆县级财政报表附表 2" xfId="875"/>
    <cellStyle name="好_Book1" xfId="876"/>
    <cellStyle name="好_Book1 2" xfId="877"/>
    <cellStyle name="好_Book1_1" xfId="878"/>
    <cellStyle name="好_Book1_1 2" xfId="311"/>
    <cellStyle name="好_Book1_1_Book1" xfId="879"/>
    <cellStyle name="好_Book1_1_Book1 2" xfId="880"/>
    <cellStyle name="好_Book1_1_Book1_1" xfId="881"/>
    <cellStyle name="好_Book1_1_Book1_1 2" xfId="882"/>
    <cellStyle name="好_Book1_1_Book1_1_Book1" xfId="883"/>
    <cellStyle name="好_Book1_1_Book1_2" xfId="884"/>
    <cellStyle name="好_Book1_1_Book1_Book1" xfId="885"/>
    <cellStyle name="好_Book1_2" xfId="886"/>
    <cellStyle name="好_Book1_2 2" xfId="887"/>
    <cellStyle name="好_Book1_2_Book1" xfId="888"/>
    <cellStyle name="好_Book1_2_Book1_1" xfId="889"/>
    <cellStyle name="好_Book1_3" xfId="890"/>
    <cellStyle name="好_Book1_3 2" xfId="891"/>
    <cellStyle name="好_Book1_3_Book1" xfId="892"/>
    <cellStyle name="好_Book1_4" xfId="893"/>
    <cellStyle name="好_Book1_5" xfId="894"/>
    <cellStyle name="好_Book1_Book1" xfId="895"/>
    <cellStyle name="好_Book1_Book1 2" xfId="896"/>
    <cellStyle name="好_Book1_Book1_1" xfId="897"/>
    <cellStyle name="好_Book1_Book1_1 2" xfId="898"/>
    <cellStyle name="好_Book1_Book1_Book1" xfId="899"/>
    <cellStyle name="好_Book2" xfId="900"/>
    <cellStyle name="好_Book2 2" xfId="902"/>
    <cellStyle name="好_M01-2(州市补助收入)" xfId="315"/>
    <cellStyle name="好_M01-2(州市补助收入) 2" xfId="903"/>
    <cellStyle name="好_M03" xfId="904"/>
    <cellStyle name="好_M03 2" xfId="905"/>
    <cellStyle name="好_碧桂园城市花园四期二十、二十一、二十五、二十六号楼" xfId="906"/>
    <cellStyle name="好_不用软件计算9.1不考虑经费管理评价xl" xfId="907"/>
    <cellStyle name="好_不用软件计算9.1不考虑经费管理评价xl 2" xfId="908"/>
    <cellStyle name="好_财政供养人员" xfId="909"/>
    <cellStyle name="好_财政供养人员 2" xfId="910"/>
    <cellStyle name="好_财政支出对上级的依赖程度" xfId="911"/>
    <cellStyle name="好_城建部门" xfId="912"/>
    <cellStyle name="好_地方配套按人均增幅控制8.30xl" xfId="913"/>
    <cellStyle name="好_地方配套按人均增幅控制8.30xl 2" xfId="914"/>
    <cellStyle name="好_地方配套按人均增幅控制8.30一般预算平均增幅、人均可用财力平均增幅两次控制、社会治安系数调整、案件数调整xl" xfId="915"/>
    <cellStyle name="好_地方配套按人均增幅控制8.30一般预算平均增幅、人均可用财力平均增幅两次控制、社会治安系数调整、案件数调整xl 2" xfId="916"/>
    <cellStyle name="好_地方配套按人均增幅控制8.31（调整结案率后）xl" xfId="630"/>
    <cellStyle name="好_地方配套按人均增幅控制8.31（调整结案率后）xl 2" xfId="632"/>
    <cellStyle name="好_第五部分(才淼、饶永宏）" xfId="917"/>
    <cellStyle name="好_第五部分(才淼、饶永宏） 2" xfId="807"/>
    <cellStyle name="好_第一部分：综合全" xfId="359"/>
    <cellStyle name="好_电白县行政中心机关食堂建设项目附表" xfId="271"/>
    <cellStyle name="好_电白县行政中心机关食堂建设项目附表 2" xfId="918"/>
    <cellStyle name="好_高中教师人数（教育厅1.6日提供）" xfId="816"/>
    <cellStyle name="好_高中教师人数（教育厅1.6日提供） 2" xfId="2"/>
    <cellStyle name="好_汇总" xfId="919"/>
    <cellStyle name="好_汇总 2" xfId="920"/>
    <cellStyle name="好_汇总-县级财政报表附表" xfId="921"/>
    <cellStyle name="好_汇总-县级财政报表附表 2" xfId="115"/>
    <cellStyle name="好_基础数据分析" xfId="922"/>
    <cellStyle name="好_基础数据分析 2" xfId="923"/>
    <cellStyle name="好_检验表" xfId="184"/>
    <cellStyle name="好_检验表（调整后）" xfId="924"/>
    <cellStyle name="好_奖励补助测算5.22测试" xfId="925"/>
    <cellStyle name="好_奖励补助测算5.22测试 2" xfId="926"/>
    <cellStyle name="好_奖励补助测算5.23新" xfId="761"/>
    <cellStyle name="好_奖励补助测算5.23新 2" xfId="927"/>
    <cellStyle name="好_奖励补助测算5.24冯铸" xfId="928"/>
    <cellStyle name="好_奖励补助测算5.24冯铸 2" xfId="406"/>
    <cellStyle name="好_奖励补助测算7.23" xfId="929"/>
    <cellStyle name="好_奖励补助测算7.23 2" xfId="930"/>
    <cellStyle name="好_奖励补助测算7.25" xfId="931"/>
    <cellStyle name="好_奖励补助测算7.25 (version 1) (version 1)" xfId="932"/>
    <cellStyle name="好_奖励补助测算7.25 (version 1) (version 1) 2" xfId="933"/>
    <cellStyle name="好_奖励补助测算7.25 2" xfId="934"/>
    <cellStyle name="好_教师绩效工资测算表（离退休按各地上报数测算）2009年1月1日" xfId="835"/>
    <cellStyle name="好_教育厅提供义务教育及高中教师人数（2009年1月6日）" xfId="935"/>
    <cellStyle name="好_教育厅提供义务教育及高中教师人数（2009年1月6日） 2" xfId="936"/>
    <cellStyle name="好_历年教师人数" xfId="355"/>
    <cellStyle name="好_丽江汇总" xfId="937"/>
    <cellStyle name="好_评标报告1" xfId="430"/>
    <cellStyle name="好_评标报告1 2" xfId="488"/>
    <cellStyle name="好_评标结果汇总表" xfId="938"/>
    <cellStyle name="好_评标结果汇总表 2" xfId="939"/>
    <cellStyle name="好_评标结果汇总表英清连阳二" xfId="830"/>
    <cellStyle name="好_评标结果汇总表英清连阳二 2" xfId="752"/>
    <cellStyle name="好_三季度－表二" xfId="940"/>
    <cellStyle name="好_三季度－表二 2" xfId="941"/>
    <cellStyle name="好_投标单位报价汇总表" xfId="942"/>
    <cellStyle name="好_投标单位报价汇总表 2" xfId="943"/>
    <cellStyle name="好_卫生部门" xfId="944"/>
    <cellStyle name="好_卫生部门 2" xfId="945"/>
    <cellStyle name="好_文体广播部门" xfId="745"/>
    <cellStyle name="好_下半年禁毒办案经费分配2544.3万元" xfId="152"/>
    <cellStyle name="好_下半年禁吸戒毒经费1000万元" xfId="946"/>
    <cellStyle name="好_下半年禁吸戒毒经费1000万元 2" xfId="947"/>
    <cellStyle name="好_县级公安机关公用经费标准奖励测算方案（定稿）" xfId="948"/>
    <cellStyle name="好_县级公安机关公用经费标准奖励测算方案（定稿） 2" xfId="949"/>
    <cellStyle name="好_县级基础数据" xfId="950"/>
    <cellStyle name="好_现场记录表" xfId="951"/>
    <cellStyle name="好_现场记录表 2" xfId="389"/>
    <cellStyle name="好_业务工作量指标" xfId="952"/>
    <cellStyle name="好_业务工作量指标 2" xfId="953"/>
    <cellStyle name="好_义务教育阶段教职工人数（教育厅提供最终）" xfId="954"/>
    <cellStyle name="好_义务教育阶段教职工人数（教育厅提供最终） 2" xfId="955"/>
    <cellStyle name="好_云南农村义务教育统计表" xfId="956"/>
    <cellStyle name="好_云南农村义务教育统计表 2" xfId="957"/>
    <cellStyle name="好_云南省2008年中小学教师人数统计表" xfId="958"/>
    <cellStyle name="好_云南省2008年中小学教职工情况（教育厅提供20090101加工整理）" xfId="959"/>
    <cellStyle name="好_云南省2008年中小学教职工情况（教育厅提供20090101加工整理） 2" xfId="960"/>
    <cellStyle name="好_云南省2008年转移支付测算——州市本级考核部分及政策性测算" xfId="961"/>
    <cellStyle name="好_云南省2008年转移支付测算——州市本级考核部分及政策性测算 2" xfId="962"/>
    <cellStyle name="好_指标四" xfId="963"/>
    <cellStyle name="好_指标四 2" xfId="964"/>
    <cellStyle name="好_指标五" xfId="965"/>
    <cellStyle name="后继超链接" xfId="967"/>
    <cellStyle name="后继超链接 2" xfId="968"/>
    <cellStyle name="汇总 2" xfId="660"/>
    <cellStyle name="汇总 3" xfId="969"/>
    <cellStyle name="货币 2" xfId="966"/>
    <cellStyle name="计算 2" xfId="970"/>
    <cellStyle name="计算 3" xfId="971"/>
    <cellStyle name="检查单元格 2" xfId="972"/>
    <cellStyle name="检查单元格 3" xfId="973"/>
    <cellStyle name="解释性文本 2" xfId="974"/>
    <cellStyle name="解释性文本 3" xfId="975"/>
    <cellStyle name="借出原因" xfId="976"/>
    <cellStyle name="警告文本 2" xfId="128"/>
    <cellStyle name="警告文本 3" xfId="131"/>
    <cellStyle name="链接单元格 2" xfId="977"/>
    <cellStyle name="链接单元格 3" xfId="842"/>
    <cellStyle name="霓付 [0]_ +Foil &amp; -FOIL &amp; PAPER" xfId="978"/>
    <cellStyle name="霓付_ +Foil &amp; -FOIL &amp; PAPER" xfId="979"/>
    <cellStyle name="烹拳 [0]_ +Foil &amp; -FOIL &amp; PAPER" xfId="980"/>
    <cellStyle name="烹拳_ +Foil &amp; -FOIL &amp; PAPER" xfId="981"/>
    <cellStyle name="普通_ 白土" xfId="982"/>
    <cellStyle name="千分位[0]_ 白土" xfId="983"/>
    <cellStyle name="千分位_ 白土" xfId="984"/>
    <cellStyle name="千位[0]_ 方正PC" xfId="985"/>
    <cellStyle name="千位_ 方正PC" xfId="986"/>
    <cellStyle name="千位分隔 2" xfId="987"/>
    <cellStyle name="千位分隔 2 2" xfId="988"/>
    <cellStyle name="千位分隔 2 2 2" xfId="989"/>
    <cellStyle name="千位分隔 2 3" xfId="990"/>
    <cellStyle name="千位分隔 3" xfId="408"/>
    <cellStyle name="千位分隔 3 2" xfId="991"/>
    <cellStyle name="千位分隔 4" xfId="411"/>
    <cellStyle name="千位分隔 4 2" xfId="992"/>
    <cellStyle name="千位分隔[0] 2" xfId="37"/>
    <cellStyle name="千位分隔[0] 2 2" xfId="665"/>
    <cellStyle name="钎霖_4岿角利" xfId="993"/>
    <cellStyle name="强调 1" xfId="994"/>
    <cellStyle name="强调 1 2" xfId="995"/>
    <cellStyle name="强调 2" xfId="996"/>
    <cellStyle name="强调 2 2" xfId="997"/>
    <cellStyle name="强调 3" xfId="998"/>
    <cellStyle name="强调 3 2" xfId="999"/>
    <cellStyle name="强调文字颜色 1 2" xfId="1000"/>
    <cellStyle name="强调文字颜色 1 3" xfId="1001"/>
    <cellStyle name="强调文字颜色 2 2" xfId="1002"/>
    <cellStyle name="强调文字颜色 2 3" xfId="1003"/>
    <cellStyle name="强调文字颜色 3 2" xfId="1004"/>
    <cellStyle name="强调文字颜色 3 3" xfId="1005"/>
    <cellStyle name="强调文字颜色 4 2" xfId="178"/>
    <cellStyle name="强调文字颜色 4 3" xfId="182"/>
    <cellStyle name="强调文字颜色 5 2" xfId="1006"/>
    <cellStyle name="强调文字颜色 5 3" xfId="1007"/>
    <cellStyle name="强调文字颜色 6 2" xfId="901"/>
    <cellStyle name="强调文字颜色 6 3" xfId="1008"/>
    <cellStyle name="日期" xfId="711"/>
    <cellStyle name="商品名称" xfId="1009"/>
    <cellStyle name="适中 2" xfId="1010"/>
    <cellStyle name="适中 3" xfId="1011"/>
    <cellStyle name="输出 2" xfId="1012"/>
    <cellStyle name="输出 3" xfId="1013"/>
    <cellStyle name="输入 2" xfId="784"/>
    <cellStyle name="输入 3" xfId="786"/>
    <cellStyle name="数量" xfId="1014"/>
    <cellStyle name="数字" xfId="1015"/>
    <cellStyle name="数字 2" xfId="1016"/>
    <cellStyle name="未定义" xfId="1017"/>
    <cellStyle name="小数" xfId="598"/>
    <cellStyle name="小数 2" xfId="600"/>
    <cellStyle name="样式 1" xfId="1018"/>
    <cellStyle name="昗弨_Pacific Region P&amp;L" xfId="1019"/>
    <cellStyle name="寘嬫愗傝 [0.00]_Region Orders (2)" xfId="1020"/>
    <cellStyle name="寘嬫愗傝_Region Orders (2)" xfId="1021"/>
    <cellStyle name="注释 2" xfId="1022"/>
    <cellStyle name="注释 2 2" xfId="1023"/>
    <cellStyle name="注释 3" xfId="1024"/>
    <cellStyle name="콤마 [0]_BOILER-CO1" xfId="1025"/>
    <cellStyle name="콤마_BOILER-CO1" xfId="1026"/>
    <cellStyle name="통화 [0]_BOILER-CO1" xfId="1027"/>
    <cellStyle name="통화_BOILER-CO1" xfId="293"/>
    <cellStyle name="표준_0N-HANDLING " xfId="440"/>
  </cellStyles>
  <dxfs count="9">
    <dxf>
      <font>
        <color theme="0"/>
      </font>
    </dxf>
    <dxf>
      <font>
        <color theme="0"/>
      </font>
    </dxf>
    <dxf>
      <font>
        <color theme="0"/>
      </font>
    </dxf>
    <dxf>
      <font>
        <color theme="0"/>
      </font>
    </dxf>
    <dxf>
      <font>
        <color theme="0"/>
      </font>
    </dxf>
    <dxf>
      <font>
        <color indexed="10"/>
      </font>
    </dxf>
    <dxf>
      <font>
        <color indexed="10"/>
      </font>
    </dxf>
    <dxf>
      <font>
        <color indexed="10"/>
      </font>
    </dxf>
    <dxf>
      <font>
        <color indexed="10"/>
      </font>
    </dxf>
  </dxfs>
  <tableStyles count="0" defaultTableStyle="TableStyleMedium2" defaultPivotStyle="PivotStyleLight16"/>
  <colors>
    <mruColors>
      <color rgb="FF00000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461042</xdr:colOff>
          <xdr:row>1</xdr:row>
          <xdr:rowOff>153681</xdr:rowOff>
        </xdr:from>
        <xdr:to>
          <xdr:col>12</xdr:col>
          <xdr:colOff>69156</xdr:colOff>
          <xdr:row>3</xdr:row>
          <xdr:rowOff>53788</xdr:rowOff>
        </xdr:to>
        <xdr:sp macro="" textlink="">
          <xdr:nvSpPr>
            <xdr:cNvPr id="8195" name="CommandButton1" hidden="1">
              <a:extLst>
                <a:ext uri="{63B3BB69-23CF-44E3-9099-C40C66FF867C}">
                  <a14:compatExt spid="_x0000_s819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576303</xdr:colOff>
          <xdr:row>1</xdr:row>
          <xdr:rowOff>207469</xdr:rowOff>
        </xdr:from>
        <xdr:to>
          <xdr:col>10</xdr:col>
          <xdr:colOff>215153</xdr:colOff>
          <xdr:row>2</xdr:row>
          <xdr:rowOff>253573</xdr:rowOff>
        </xdr:to>
        <xdr:sp macro="" textlink="">
          <xdr:nvSpPr>
            <xdr:cNvPr id="60417" name="CommandButton1" hidden="1">
              <a:extLst>
                <a:ext uri="{63B3BB69-23CF-44E3-9099-C40C66FF867C}">
                  <a14:compatExt spid="_x0000_s60417"/>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591671</xdr:colOff>
          <xdr:row>1</xdr:row>
          <xdr:rowOff>92208</xdr:rowOff>
        </xdr:from>
        <xdr:to>
          <xdr:col>12</xdr:col>
          <xdr:colOff>192101</xdr:colOff>
          <xdr:row>2</xdr:row>
          <xdr:rowOff>169049</xdr:rowOff>
        </xdr:to>
        <xdr:sp macro="" textlink="">
          <xdr:nvSpPr>
            <xdr:cNvPr id="86017" name="CommandButton1" hidden="1">
              <a:extLst>
                <a:ext uri="{63B3BB69-23CF-44E3-9099-C40C66FF867C}">
                  <a14:compatExt spid="_x0000_s86017"/>
                </a:ext>
              </a:extLst>
            </xdr:cNvPr>
            <xdr:cNvSpPr/>
          </xdr:nvSpPr>
          <xdr:spPr>
            <a:xfrm>
              <a:off x="0" y="0"/>
              <a:ext cx="0" cy="0"/>
            </a:xfrm>
            <a:prstGeom prst="rect">
              <a:avLst/>
            </a:prstGeom>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38420</xdr:colOff>
      <xdr:row>6</xdr:row>
      <xdr:rowOff>7684</xdr:rowOff>
    </xdr:from>
    <xdr:to>
      <xdr:col>1</xdr:col>
      <xdr:colOff>0</xdr:colOff>
      <xdr:row>6</xdr:row>
      <xdr:rowOff>514831</xdr:rowOff>
    </xdr:to>
    <xdr:cxnSp macro="">
      <xdr:nvCxnSpPr>
        <xdr:cNvPr id="5" name="直接连接符 4"/>
        <xdr:cNvCxnSpPr/>
      </xdr:nvCxnSpPr>
      <xdr:spPr>
        <a:xfrm>
          <a:off x="38100" y="2611755"/>
          <a:ext cx="2415540" cy="50673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0</xdr:colOff>
      <xdr:row>6</xdr:row>
      <xdr:rowOff>7684</xdr:rowOff>
    </xdr:from>
    <xdr:to>
      <xdr:col>0</xdr:col>
      <xdr:colOff>1329338</xdr:colOff>
      <xdr:row>6</xdr:row>
      <xdr:rowOff>760730</xdr:rowOff>
    </xdr:to>
    <xdr:cxnSp macro="">
      <xdr:nvCxnSpPr>
        <xdr:cNvPr id="9" name="直接连接符 8"/>
        <xdr:cNvCxnSpPr/>
      </xdr:nvCxnSpPr>
      <xdr:spPr>
        <a:xfrm>
          <a:off x="0" y="2611755"/>
          <a:ext cx="1329055" cy="75311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1.bin"/><Relationship Id="rId5" Type="http://schemas.openxmlformats.org/officeDocument/2006/relationships/image" Target="../media/image1.emf"/><Relationship Id="rId4" Type="http://schemas.openxmlformats.org/officeDocument/2006/relationships/control" Target="../activeX/activeX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2.bin"/><Relationship Id="rId5" Type="http://schemas.openxmlformats.org/officeDocument/2006/relationships/image" Target="../media/image2.emf"/><Relationship Id="rId4" Type="http://schemas.openxmlformats.org/officeDocument/2006/relationships/control" Target="../activeX/activeX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15.bin"/><Relationship Id="rId5" Type="http://schemas.openxmlformats.org/officeDocument/2006/relationships/image" Target="../media/image3.emf"/><Relationship Id="rId4" Type="http://schemas.openxmlformats.org/officeDocument/2006/relationships/control" Target="../activeX/activeX3.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2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E54"/>
  <sheetViews>
    <sheetView topLeftCell="A13" zoomScaleNormal="100" workbookViewId="0">
      <pane xSplit="2" topLeftCell="C1" activePane="topRight" state="frozen"/>
      <selection pane="topRight" activeCell="B27" sqref="B27"/>
    </sheetView>
  </sheetViews>
  <sheetFormatPr defaultColWidth="9" defaultRowHeight="15.75"/>
  <cols>
    <col min="1" max="1" width="17.5" customWidth="1"/>
    <col min="2" max="2" width="63.69921875" customWidth="1"/>
    <col min="3" max="3" width="14.69921875" customWidth="1"/>
    <col min="5" max="5" width="10.3984375" bestFit="1" customWidth="1"/>
  </cols>
  <sheetData>
    <row r="1" spans="1:5">
      <c r="A1" s="35" t="s">
        <v>0</v>
      </c>
      <c r="B1" s="28">
        <v>12018094</v>
      </c>
      <c r="E1" s="35"/>
    </row>
    <row r="2" spans="1:5">
      <c r="A2" s="35" t="s">
        <v>1</v>
      </c>
      <c r="B2" s="104" t="s">
        <v>233</v>
      </c>
    </row>
    <row r="3" spans="1:5">
      <c r="A3" s="35" t="s">
        <v>2</v>
      </c>
      <c r="B3" s="29" t="s">
        <v>3</v>
      </c>
    </row>
    <row r="4" spans="1:5">
      <c r="A4" s="35" t="s">
        <v>4</v>
      </c>
      <c r="B4" s="104" t="s">
        <v>234</v>
      </c>
    </row>
    <row r="5" spans="1:5">
      <c r="A5" s="35" t="s">
        <v>5</v>
      </c>
      <c r="B5" s="104" t="s">
        <v>235</v>
      </c>
    </row>
    <row r="6" spans="1:5">
      <c r="A6" s="35" t="s">
        <v>6</v>
      </c>
      <c r="B6" s="29" t="s">
        <v>7</v>
      </c>
    </row>
    <row r="7" spans="1:5">
      <c r="A7" s="35" t="s">
        <v>8</v>
      </c>
      <c r="B7" s="96">
        <v>43320</v>
      </c>
    </row>
    <row r="8" spans="1:5">
      <c r="A8" s="35" t="s">
        <v>9</v>
      </c>
      <c r="B8" s="104" t="s">
        <v>274</v>
      </c>
    </row>
    <row r="9" spans="1:5">
      <c r="A9" s="35" t="s">
        <v>10</v>
      </c>
      <c r="B9" s="104" t="s">
        <v>236</v>
      </c>
    </row>
    <row r="10" spans="1:5">
      <c r="A10" s="35" t="s">
        <v>11</v>
      </c>
      <c r="B10" s="97" t="s">
        <v>241</v>
      </c>
    </row>
    <row r="11" spans="1:5">
      <c r="A11" s="35" t="s">
        <v>12</v>
      </c>
      <c r="B11" s="97" t="s">
        <v>242</v>
      </c>
    </row>
    <row r="12" spans="1:5">
      <c r="A12" s="35" t="s">
        <v>13</v>
      </c>
      <c r="B12" s="98">
        <v>135113100</v>
      </c>
      <c r="E12">
        <v>151498600</v>
      </c>
    </row>
    <row r="13" spans="1:5">
      <c r="A13" s="35" t="s">
        <v>374</v>
      </c>
      <c r="B13" s="98">
        <v>129785900</v>
      </c>
    </row>
    <row r="14" spans="1:5">
      <c r="A14" s="158" t="s">
        <v>375</v>
      </c>
      <c r="B14" s="98">
        <v>5327200</v>
      </c>
    </row>
    <row r="15" spans="1:5" ht="31.5">
      <c r="A15" s="35" t="s">
        <v>14</v>
      </c>
      <c r="B15" s="107" t="s">
        <v>237</v>
      </c>
    </row>
    <row r="16" spans="1:5" ht="62.95">
      <c r="A16" s="35" t="s">
        <v>15</v>
      </c>
      <c r="B16" s="107" t="s">
        <v>240</v>
      </c>
    </row>
    <row r="17" spans="1:2">
      <c r="A17" s="35" t="s">
        <v>16</v>
      </c>
      <c r="B17" s="99" t="str">
        <f>TEXT(WORKDAY(B7,1),"yyyy年m月d日")&amp;"至"&amp;TEXT(WORKDAY(B7,3),"yyyy年m月d日")</f>
        <v>2018年8月9日至2018年8月13日</v>
      </c>
    </row>
    <row r="18" spans="1:2">
      <c r="A18" s="35" t="s">
        <v>17</v>
      </c>
      <c r="B18" s="105" t="s">
        <v>245</v>
      </c>
    </row>
    <row r="19" spans="1:2" ht="47.2">
      <c r="A19" s="35" t="s">
        <v>18</v>
      </c>
      <c r="B19" s="107" t="s">
        <v>239</v>
      </c>
    </row>
    <row r="20" spans="1:2">
      <c r="A20" s="35" t="s">
        <v>19</v>
      </c>
      <c r="B20" s="108" t="s">
        <v>238</v>
      </c>
    </row>
    <row r="21" spans="1:2">
      <c r="A21" s="35" t="s">
        <v>20</v>
      </c>
      <c r="B21" s="110" t="s">
        <v>244</v>
      </c>
    </row>
    <row r="22" spans="1:2">
      <c r="A22" s="35" t="s">
        <v>21</v>
      </c>
      <c r="B22" s="108" t="s">
        <v>243</v>
      </c>
    </row>
    <row r="23" spans="1:2">
      <c r="A23" s="35" t="s">
        <v>22</v>
      </c>
      <c r="B23" s="100"/>
    </row>
    <row r="24" spans="1:2">
      <c r="A24" s="158" t="s">
        <v>456</v>
      </c>
      <c r="B24" s="108" t="s">
        <v>452</v>
      </c>
    </row>
    <row r="25" spans="1:2">
      <c r="A25" s="158" t="s">
        <v>454</v>
      </c>
      <c r="B25" s="108" t="s">
        <v>453</v>
      </c>
    </row>
    <row r="26" spans="1:2">
      <c r="A26" s="35" t="s">
        <v>23</v>
      </c>
      <c r="B26" s="109">
        <v>13376681356</v>
      </c>
    </row>
    <row r="27" spans="1:2">
      <c r="A27" s="158" t="s">
        <v>455</v>
      </c>
      <c r="B27" s="220" t="s">
        <v>457</v>
      </c>
    </row>
    <row r="28" spans="1:2">
      <c r="A28" s="35" t="s">
        <v>24</v>
      </c>
      <c r="B28" s="100" t="s">
        <v>25</v>
      </c>
    </row>
    <row r="29" spans="1:2">
      <c r="A29" s="35" t="s">
        <v>420</v>
      </c>
      <c r="B29" s="108" t="s">
        <v>422</v>
      </c>
    </row>
    <row r="30" spans="1:2">
      <c r="A30" s="158" t="s">
        <v>449</v>
      </c>
      <c r="B30" s="108" t="s">
        <v>448</v>
      </c>
    </row>
    <row r="31" spans="1:2">
      <c r="A31" s="158" t="s">
        <v>450</v>
      </c>
      <c r="B31" s="108" t="s">
        <v>451</v>
      </c>
    </row>
    <row r="32" spans="1:2">
      <c r="A32" s="35"/>
      <c r="B32" s="100"/>
    </row>
    <row r="34" spans="1:2" ht="30.25" customHeight="1">
      <c r="A34" s="31" t="s">
        <v>26</v>
      </c>
      <c r="B34" s="31" t="s">
        <v>27</v>
      </c>
    </row>
    <row r="35" spans="1:2" ht="28" customHeight="1">
      <c r="A35" s="101">
        <v>1</v>
      </c>
      <c r="B35" s="106" t="s">
        <v>432</v>
      </c>
    </row>
    <row r="36" spans="1:2" ht="28" customHeight="1">
      <c r="A36" s="101">
        <v>2</v>
      </c>
      <c r="B36" s="106" t="s">
        <v>427</v>
      </c>
    </row>
    <row r="37" spans="1:2" ht="28" customHeight="1">
      <c r="A37" s="101">
        <v>3</v>
      </c>
      <c r="B37" s="106" t="s">
        <v>428</v>
      </c>
    </row>
    <row r="38" spans="1:2" ht="28" customHeight="1">
      <c r="A38" s="101">
        <v>4</v>
      </c>
      <c r="B38" s="106" t="s">
        <v>429</v>
      </c>
    </row>
    <row r="39" spans="1:2" ht="28" customHeight="1">
      <c r="A39" s="101">
        <v>5</v>
      </c>
      <c r="B39" s="106" t="s">
        <v>430</v>
      </c>
    </row>
    <row r="40" spans="1:2" ht="28" customHeight="1">
      <c r="A40" s="101">
        <v>6</v>
      </c>
      <c r="B40" s="106" t="s">
        <v>431</v>
      </c>
    </row>
    <row r="41" spans="1:2" ht="28" customHeight="1">
      <c r="A41" s="101">
        <v>7</v>
      </c>
      <c r="B41" s="102"/>
    </row>
    <row r="42" spans="1:2" ht="28" customHeight="1">
      <c r="A42" s="101">
        <v>8</v>
      </c>
      <c r="B42" s="70"/>
    </row>
    <row r="43" spans="1:2" ht="28" customHeight="1">
      <c r="A43" s="101">
        <v>9</v>
      </c>
      <c r="B43" s="70"/>
    </row>
    <row r="44" spans="1:2" ht="28" customHeight="1">
      <c r="A44" s="101">
        <v>10</v>
      </c>
      <c r="B44" s="70"/>
    </row>
    <row r="45" spans="1:2" ht="28" customHeight="1">
      <c r="A45" s="101">
        <v>11</v>
      </c>
      <c r="B45" s="70"/>
    </row>
    <row r="46" spans="1:2" ht="28" customHeight="1">
      <c r="A46" s="101">
        <v>12</v>
      </c>
      <c r="B46" s="70"/>
    </row>
    <row r="47" spans="1:2" ht="28" customHeight="1">
      <c r="A47" s="101">
        <v>13</v>
      </c>
      <c r="B47" s="70"/>
    </row>
    <row r="48" spans="1:2" ht="28" customHeight="1">
      <c r="A48" s="101">
        <v>14</v>
      </c>
      <c r="B48" s="70"/>
    </row>
    <row r="49" spans="1:2" ht="28" customHeight="1">
      <c r="A49" s="101">
        <v>15</v>
      </c>
      <c r="B49" s="70"/>
    </row>
    <row r="50" spans="1:2" ht="28" customHeight="1">
      <c r="A50" s="101">
        <v>16</v>
      </c>
      <c r="B50" s="70"/>
    </row>
    <row r="51" spans="1:2" ht="28" customHeight="1">
      <c r="A51" s="101">
        <v>17</v>
      </c>
      <c r="B51" s="70"/>
    </row>
    <row r="52" spans="1:2" ht="28" customHeight="1">
      <c r="A52" s="101">
        <v>18</v>
      </c>
      <c r="B52" s="70"/>
    </row>
    <row r="53" spans="1:2" ht="28" customHeight="1">
      <c r="A53" s="101">
        <v>19</v>
      </c>
      <c r="B53" s="70"/>
    </row>
    <row r="54" spans="1:2" ht="28" customHeight="1">
      <c r="A54" s="101">
        <v>20</v>
      </c>
      <c r="B54" s="70"/>
    </row>
  </sheetData>
  <phoneticPr fontId="110" type="noConversion"/>
  <pageMargins left="0.69930555555555596" right="0.69930555555555596" top="0.75" bottom="0.75" header="0.3" footer="0.3"/>
  <pageSetup paperSize="9" scale="89"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15"/>
  <sheetViews>
    <sheetView view="pageBreakPreview" topLeftCell="A4" zoomScaleNormal="100" zoomScaleSheetLayoutView="100" workbookViewId="0">
      <selection activeCell="E6" sqref="E6"/>
    </sheetView>
  </sheetViews>
  <sheetFormatPr defaultColWidth="9" defaultRowHeight="15.75"/>
  <cols>
    <col min="1" max="1" width="6.09765625" style="18" customWidth="1"/>
    <col min="2" max="2" width="32.3984375" style="18" customWidth="1"/>
    <col min="3" max="3" width="13.59765625" style="18" customWidth="1"/>
    <col min="4" max="4" width="25.5" style="18" customWidth="1"/>
    <col min="5" max="5" width="11.8984375" style="18" customWidth="1"/>
    <col min="6" max="6" width="13" style="18" customWidth="1"/>
    <col min="7" max="7" width="16.5" style="18" customWidth="1"/>
    <col min="8" max="8" width="12.5" style="18" customWidth="1"/>
    <col min="9" max="16384" width="9" style="18"/>
  </cols>
  <sheetData>
    <row r="1" spans="1:8" ht="27.25" customHeight="1">
      <c r="A1" s="221" t="s">
        <v>28</v>
      </c>
      <c r="B1" s="222"/>
      <c r="C1" s="222"/>
      <c r="D1" s="222"/>
      <c r="E1" s="222"/>
      <c r="F1" s="222"/>
      <c r="G1" s="222"/>
      <c r="H1" s="223"/>
    </row>
    <row r="2" spans="1:8" ht="27.25" customHeight="1">
      <c r="A2" s="224" t="str">
        <f>链接表!A4&amp;链接表!B4</f>
        <v>项目名称：信宜市绿道二期EPC项目</v>
      </c>
      <c r="B2" s="225"/>
      <c r="C2" s="225"/>
      <c r="D2" s="225"/>
      <c r="E2" s="225"/>
      <c r="F2" s="225"/>
      <c r="G2" s="225"/>
      <c r="H2" s="226"/>
    </row>
    <row r="3" spans="1:8" ht="27.25" customHeight="1">
      <c r="A3" s="224" t="str">
        <f>链接表!A5&amp;链接表!B5</f>
        <v>招标人：信宜市旅游投资发展有限公司</v>
      </c>
      <c r="B3" s="225"/>
      <c r="C3" s="225"/>
      <c r="D3" s="225"/>
      <c r="E3" s="225"/>
      <c r="F3" s="225"/>
      <c r="G3" s="225"/>
      <c r="H3" s="226"/>
    </row>
    <row r="4" spans="1:8" ht="27.25" customHeight="1">
      <c r="A4" s="224" t="str">
        <f>链接表!A6&amp;链接表!B6</f>
        <v>招标代理：深圳群伦项目管理有限公司</v>
      </c>
      <c r="B4" s="225"/>
      <c r="C4" s="225"/>
      <c r="D4" s="225"/>
      <c r="E4" s="225"/>
      <c r="F4" s="225"/>
      <c r="G4" s="225"/>
      <c r="H4" s="226"/>
    </row>
    <row r="5" spans="1:8" ht="36.950000000000003" customHeight="1">
      <c r="A5" s="80" t="s">
        <v>26</v>
      </c>
      <c r="B5" s="54" t="s">
        <v>29</v>
      </c>
      <c r="C5" s="54" t="s">
        <v>30</v>
      </c>
      <c r="D5" s="54" t="s">
        <v>31</v>
      </c>
      <c r="E5" s="54" t="s">
        <v>32</v>
      </c>
      <c r="F5" s="54" t="s">
        <v>33</v>
      </c>
      <c r="G5" s="92" t="s">
        <v>34</v>
      </c>
      <c r="H5" s="92" t="s">
        <v>35</v>
      </c>
    </row>
    <row r="6" spans="1:8" ht="32.1" customHeight="1">
      <c r="A6" s="80"/>
      <c r="B6" s="77"/>
      <c r="C6" s="77"/>
      <c r="D6" s="80"/>
      <c r="E6" s="80" t="s">
        <v>36</v>
      </c>
      <c r="F6" s="80"/>
      <c r="G6" s="77"/>
      <c r="H6" s="77"/>
    </row>
    <row r="7" spans="1:8" ht="32.1" customHeight="1">
      <c r="A7" s="80"/>
      <c r="B7" s="77"/>
      <c r="C7" s="77"/>
      <c r="D7" s="80"/>
      <c r="E7" s="80" t="s">
        <v>36</v>
      </c>
      <c r="F7" s="80"/>
      <c r="G7" s="77"/>
      <c r="H7" s="77"/>
    </row>
    <row r="8" spans="1:8" ht="32.1" customHeight="1">
      <c r="A8" s="80"/>
      <c r="B8" s="77"/>
      <c r="C8" s="77"/>
      <c r="D8" s="80"/>
      <c r="E8" s="80" t="s">
        <v>36</v>
      </c>
      <c r="F8" s="80"/>
      <c r="G8" s="77"/>
      <c r="H8" s="77"/>
    </row>
    <row r="9" spans="1:8" ht="32.1" customHeight="1">
      <c r="A9" s="80"/>
      <c r="B9" s="77"/>
      <c r="C9" s="77"/>
      <c r="D9" s="80"/>
      <c r="E9" s="80" t="s">
        <v>36</v>
      </c>
      <c r="F9" s="80"/>
      <c r="G9" s="77"/>
      <c r="H9" s="77"/>
    </row>
    <row r="10" spans="1:8" ht="32.1" customHeight="1">
      <c r="A10" s="80"/>
      <c r="B10" s="77"/>
      <c r="C10" s="77"/>
      <c r="D10" s="80"/>
      <c r="E10" s="80" t="s">
        <v>36</v>
      </c>
      <c r="F10" s="80"/>
      <c r="G10" s="77"/>
      <c r="H10" s="77"/>
    </row>
    <row r="11" spans="1:8" ht="32.1" customHeight="1">
      <c r="A11" s="80"/>
      <c r="B11" s="77"/>
      <c r="C11" s="77"/>
      <c r="D11" s="80"/>
      <c r="E11" s="80" t="s">
        <v>36</v>
      </c>
      <c r="F11" s="80"/>
      <c r="G11" s="77"/>
      <c r="H11" s="77"/>
    </row>
    <row r="12" spans="1:8" ht="32.1" customHeight="1">
      <c r="A12" s="80"/>
      <c r="B12" s="77"/>
      <c r="C12" s="77"/>
      <c r="D12" s="80"/>
      <c r="E12" s="80" t="s">
        <v>36</v>
      </c>
      <c r="F12" s="80"/>
      <c r="G12" s="77"/>
      <c r="H12" s="77"/>
    </row>
    <row r="13" spans="1:8" ht="32.1" customHeight="1">
      <c r="A13" s="80"/>
      <c r="B13" s="77"/>
      <c r="C13" s="77"/>
      <c r="D13" s="80"/>
      <c r="E13" s="80" t="s">
        <v>36</v>
      </c>
      <c r="F13" s="80"/>
      <c r="G13" s="77"/>
      <c r="H13" s="77"/>
    </row>
    <row r="14" spans="1:8" ht="18.8" customHeight="1"/>
    <row r="15" spans="1:8" ht="36.950000000000003" customHeight="1">
      <c r="A15" s="227"/>
      <c r="B15" s="228"/>
      <c r="C15" s="228"/>
      <c r="D15" s="228"/>
      <c r="E15" s="228"/>
      <c r="F15" s="228"/>
      <c r="G15" s="228"/>
      <c r="H15" s="228"/>
    </row>
  </sheetData>
  <mergeCells count="5">
    <mergeCell ref="A1:H1"/>
    <mergeCell ref="A2:H2"/>
    <mergeCell ref="A3:H3"/>
    <mergeCell ref="A4:H4"/>
    <mergeCell ref="A15:H15"/>
  </mergeCells>
  <phoneticPr fontId="110" type="noConversion"/>
  <printOptions horizontalCentered="1"/>
  <pageMargins left="0.359027777777778" right="0.359027777777778" top="0.60902777777777795" bottom="0.60902777777777795" header="0.30902777777777801" footer="0.30902777777777801"/>
  <pageSetup paperSize="9"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19"/>
  <sheetViews>
    <sheetView view="pageBreakPreview" zoomScaleNormal="100" zoomScaleSheetLayoutView="100" workbookViewId="0">
      <selection activeCell="E6" sqref="E6"/>
    </sheetView>
  </sheetViews>
  <sheetFormatPr defaultColWidth="9" defaultRowHeight="15.75"/>
  <cols>
    <col min="1" max="1" width="6.09765625" style="18" customWidth="1"/>
    <col min="2" max="2" width="47.09765625" style="18" customWidth="1"/>
    <col min="3" max="3" width="10.19921875" style="18" customWidth="1"/>
    <col min="4" max="4" width="15.59765625" style="18" customWidth="1"/>
    <col min="5" max="5" width="16.69921875" style="18" customWidth="1"/>
    <col min="6" max="6" width="19.09765625" style="18" customWidth="1"/>
    <col min="7" max="7" width="15.69921875" style="18" customWidth="1"/>
    <col min="8" max="16384" width="9" style="18"/>
  </cols>
  <sheetData>
    <row r="1" spans="1:7" ht="29.2" customHeight="1">
      <c r="A1" s="221" t="s">
        <v>37</v>
      </c>
      <c r="B1" s="222"/>
      <c r="C1" s="222"/>
      <c r="D1" s="222"/>
      <c r="E1" s="222"/>
      <c r="F1" s="222"/>
      <c r="G1" s="223"/>
    </row>
    <row r="2" spans="1:7" ht="24.05" customHeight="1">
      <c r="A2" s="224" t="str">
        <f>链接表!A4&amp;链接表!B4</f>
        <v>项目名称：信宜市绿道二期EPC项目</v>
      </c>
      <c r="B2" s="225"/>
      <c r="C2" s="225"/>
      <c r="D2" s="225"/>
      <c r="E2" s="225"/>
      <c r="F2" s="225"/>
      <c r="G2" s="226"/>
    </row>
    <row r="3" spans="1:7" ht="24.05" customHeight="1">
      <c r="A3" s="224" t="str">
        <f>链接表!A5&amp;链接表!B5</f>
        <v>招标人：信宜市旅游投资发展有限公司</v>
      </c>
      <c r="B3" s="225"/>
      <c r="C3" s="225"/>
      <c r="D3" s="225"/>
      <c r="E3" s="225"/>
      <c r="F3" s="225"/>
      <c r="G3" s="226"/>
    </row>
    <row r="4" spans="1:7" ht="24.05" customHeight="1">
      <c r="A4" s="224" t="str">
        <f>链接表!A6&amp;链接表!B6</f>
        <v>招标代理：深圳群伦项目管理有限公司</v>
      </c>
      <c r="B4" s="225"/>
      <c r="C4" s="225"/>
      <c r="D4" s="225"/>
      <c r="E4" s="225"/>
      <c r="F4" s="225"/>
      <c r="G4" s="226"/>
    </row>
    <row r="5" spans="1:7" ht="30.7" customHeight="1">
      <c r="A5" s="80" t="s">
        <v>26</v>
      </c>
      <c r="B5" s="54" t="s">
        <v>38</v>
      </c>
      <c r="C5" s="54" t="s">
        <v>39</v>
      </c>
      <c r="D5" s="54" t="s">
        <v>40</v>
      </c>
      <c r="E5" s="54" t="s">
        <v>41</v>
      </c>
      <c r="F5" s="54" t="s">
        <v>34</v>
      </c>
      <c r="G5" s="92" t="s">
        <v>35</v>
      </c>
    </row>
    <row r="6" spans="1:7" ht="27.25" customHeight="1">
      <c r="A6" s="80"/>
      <c r="B6" s="93"/>
      <c r="C6" s="93"/>
      <c r="D6" s="80"/>
      <c r="E6" s="54"/>
      <c r="F6" s="54"/>
      <c r="G6" s="92"/>
    </row>
    <row r="7" spans="1:7" ht="27.25" customHeight="1">
      <c r="A7" s="80"/>
      <c r="B7" s="93"/>
      <c r="C7" s="93"/>
      <c r="D7" s="80"/>
      <c r="E7" s="54"/>
      <c r="F7" s="54"/>
      <c r="G7" s="92"/>
    </row>
    <row r="8" spans="1:7" ht="27.25" customHeight="1">
      <c r="A8" s="80"/>
      <c r="B8" s="93"/>
      <c r="C8" s="93"/>
      <c r="D8" s="80"/>
      <c r="E8" s="54"/>
      <c r="F8" s="54"/>
      <c r="G8" s="92"/>
    </row>
    <row r="9" spans="1:7" ht="27.25" customHeight="1">
      <c r="A9" s="80"/>
      <c r="B9" s="95"/>
      <c r="C9" s="95"/>
      <c r="D9" s="80"/>
      <c r="E9" s="54"/>
      <c r="F9" s="54"/>
      <c r="G9" s="92"/>
    </row>
    <row r="10" spans="1:7" ht="27.25" customHeight="1">
      <c r="A10" s="80"/>
      <c r="B10" s="95"/>
      <c r="C10" s="95"/>
      <c r="D10" s="80"/>
      <c r="E10" s="54"/>
      <c r="F10" s="54"/>
      <c r="G10" s="92"/>
    </row>
    <row r="11" spans="1:7" ht="27.25" customHeight="1">
      <c r="A11" s="80"/>
      <c r="B11" s="95"/>
      <c r="C11" s="95"/>
      <c r="D11" s="80"/>
      <c r="E11" s="54"/>
      <c r="F11" s="54"/>
      <c r="G11" s="92"/>
    </row>
    <row r="12" spans="1:7" ht="27.25" customHeight="1">
      <c r="A12" s="80"/>
      <c r="B12" s="95"/>
      <c r="C12" s="95"/>
      <c r="D12" s="80"/>
      <c r="E12" s="77"/>
      <c r="F12" s="77"/>
      <c r="G12" s="77"/>
    </row>
    <row r="13" spans="1:7" ht="27.25" customHeight="1">
      <c r="A13" s="80"/>
      <c r="B13" s="95"/>
      <c r="C13" s="95"/>
      <c r="D13" s="80"/>
      <c r="E13" s="77"/>
      <c r="F13" s="77"/>
      <c r="G13" s="77"/>
    </row>
    <row r="14" spans="1:7" ht="27.25" customHeight="1">
      <c r="A14" s="80"/>
      <c r="B14" s="95"/>
      <c r="C14" s="95"/>
      <c r="D14" s="80"/>
      <c r="E14" s="77"/>
      <c r="F14" s="77"/>
      <c r="G14" s="77"/>
    </row>
    <row r="15" spans="1:7" ht="27.25" customHeight="1">
      <c r="A15" s="80"/>
      <c r="B15" s="95"/>
      <c r="C15" s="95"/>
      <c r="D15" s="80"/>
      <c r="E15" s="77"/>
      <c r="F15" s="77"/>
      <c r="G15" s="77"/>
    </row>
    <row r="16" spans="1:7" ht="27.25" customHeight="1">
      <c r="A16" s="80"/>
      <c r="B16" s="95"/>
      <c r="C16" s="95"/>
      <c r="D16" s="80"/>
      <c r="E16" s="77"/>
      <c r="F16" s="77"/>
      <c r="G16" s="77"/>
    </row>
    <row r="17" spans="1:7" ht="27.25" customHeight="1">
      <c r="A17" s="80"/>
      <c r="B17" s="95"/>
      <c r="C17" s="95"/>
      <c r="D17" s="80"/>
      <c r="E17" s="77"/>
      <c r="F17" s="77"/>
      <c r="G17" s="77"/>
    </row>
    <row r="18" spans="1:7" ht="27.25" customHeight="1">
      <c r="A18" s="80"/>
      <c r="B18" s="95"/>
      <c r="C18" s="95"/>
      <c r="D18" s="80"/>
      <c r="E18" s="77"/>
      <c r="F18" s="77"/>
      <c r="G18" s="77"/>
    </row>
    <row r="19" spans="1:7" ht="27.25" customHeight="1">
      <c r="A19" s="80"/>
      <c r="B19" s="95"/>
      <c r="C19" s="95"/>
      <c r="D19" s="80"/>
      <c r="E19" s="77"/>
      <c r="F19" s="77"/>
      <c r="G19" s="77"/>
    </row>
  </sheetData>
  <mergeCells count="4">
    <mergeCell ref="A1:G1"/>
    <mergeCell ref="A2:G2"/>
    <mergeCell ref="A3:G3"/>
    <mergeCell ref="A4:G4"/>
  </mergeCells>
  <phoneticPr fontId="110" type="noConversion"/>
  <printOptions horizontalCentered="1"/>
  <pageMargins left="0.35416666666666702" right="0.35416666666666702" top="0.59027777777777801" bottom="0.59027777777777801" header="0.31388888888888899" footer="0.31388888888888899"/>
  <pageSetup paperSize="9"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H16"/>
  <sheetViews>
    <sheetView view="pageBreakPreview" zoomScaleNormal="100" zoomScaleSheetLayoutView="100" workbookViewId="0">
      <selection activeCell="E6" sqref="E6"/>
    </sheetView>
  </sheetViews>
  <sheetFormatPr defaultColWidth="9" defaultRowHeight="15.75"/>
  <cols>
    <col min="1" max="1" width="5.5" style="18" customWidth="1"/>
    <col min="2" max="2" width="28" style="18" customWidth="1"/>
    <col min="3" max="3" width="12.19921875" style="18" customWidth="1"/>
    <col min="4" max="4" width="27.3984375" style="18" customWidth="1"/>
    <col min="5" max="5" width="15.09765625" style="18" customWidth="1"/>
    <col min="6" max="6" width="22.19921875" style="18" customWidth="1"/>
    <col min="7" max="7" width="13.59765625" style="18" customWidth="1"/>
    <col min="8" max="8" width="7.59765625" style="18" customWidth="1"/>
    <col min="9" max="16384" width="9" style="18"/>
  </cols>
  <sheetData>
    <row r="1" spans="1:8" ht="26.35" customHeight="1">
      <c r="A1" s="229" t="str">
        <f>链接表!B4&amp;"投标文件递交登记表"</f>
        <v>信宜市绿道二期EPC项目投标文件递交登记表</v>
      </c>
      <c r="B1" s="229"/>
      <c r="C1" s="229"/>
      <c r="D1" s="229"/>
      <c r="E1" s="229"/>
      <c r="F1" s="229"/>
      <c r="G1" s="229"/>
      <c r="H1" s="229"/>
    </row>
    <row r="2" spans="1:8" ht="21.05" customHeight="1">
      <c r="A2" s="228" t="str">
        <f>链接表!A4&amp;链接表!B4</f>
        <v>项目名称：信宜市绿道二期EPC项目</v>
      </c>
      <c r="B2" s="228"/>
      <c r="C2" s="228"/>
      <c r="D2" s="228"/>
      <c r="E2" s="228"/>
      <c r="F2" s="228"/>
      <c r="G2" s="228"/>
      <c r="H2" s="228"/>
    </row>
    <row r="3" spans="1:8" ht="21.05" customHeight="1">
      <c r="A3" s="230" t="str">
        <f>链接表!A6&amp;链接表!B6</f>
        <v>招标代理：深圳群伦项目管理有限公司</v>
      </c>
      <c r="B3" s="230"/>
      <c r="C3" s="230"/>
      <c r="D3" s="230"/>
      <c r="E3" s="230"/>
      <c r="F3" s="230"/>
      <c r="G3" s="230"/>
      <c r="H3" s="230"/>
    </row>
    <row r="4" spans="1:8" ht="42.05" customHeight="1">
      <c r="A4" s="80" t="s">
        <v>26</v>
      </c>
      <c r="B4" s="80" t="s">
        <v>42</v>
      </c>
      <c r="C4" s="80" t="s">
        <v>39</v>
      </c>
      <c r="D4" s="92" t="s">
        <v>43</v>
      </c>
      <c r="E4" s="92" t="s">
        <v>44</v>
      </c>
      <c r="F4" s="92" t="s">
        <v>45</v>
      </c>
      <c r="G4" s="80" t="s">
        <v>34</v>
      </c>
      <c r="H4" s="92" t="s">
        <v>46</v>
      </c>
    </row>
    <row r="5" spans="1:8" ht="29.95" customHeight="1">
      <c r="A5" s="80"/>
      <c r="B5" s="93"/>
      <c r="C5" s="77"/>
      <c r="D5" s="94" t="str">
        <f>TEXT(链接表!$B$7,"yyyy年m月d日")&amp;"    时    分"</f>
        <v>2018年8月8日    时    分</v>
      </c>
      <c r="E5" s="77" t="s">
        <v>47</v>
      </c>
      <c r="F5" s="77"/>
      <c r="G5" s="77"/>
      <c r="H5" s="77"/>
    </row>
    <row r="6" spans="1:8" ht="29.95" customHeight="1">
      <c r="A6" s="80"/>
      <c r="B6" s="93"/>
      <c r="C6" s="77"/>
      <c r="D6" s="94" t="str">
        <f>TEXT(链接表!$B$7,"yyyy年m月d日")&amp;"    时    分"</f>
        <v>2018年8月8日    时    分</v>
      </c>
      <c r="E6" s="77"/>
      <c r="F6" s="77"/>
      <c r="G6" s="77"/>
      <c r="H6" s="77"/>
    </row>
    <row r="7" spans="1:8" ht="29.95" customHeight="1">
      <c r="A7" s="80"/>
      <c r="B7" s="93"/>
      <c r="C7" s="77"/>
      <c r="D7" s="94" t="str">
        <f>TEXT(链接表!$B$7,"yyyy年m月d日")&amp;"    时    分"</f>
        <v>2018年8月8日    时    分</v>
      </c>
      <c r="E7" s="77"/>
      <c r="F7" s="77"/>
      <c r="G7" s="77"/>
      <c r="H7" s="77"/>
    </row>
    <row r="8" spans="1:8" ht="29.95" customHeight="1">
      <c r="A8" s="80"/>
      <c r="B8" s="95"/>
      <c r="C8" s="77"/>
      <c r="D8" s="94" t="str">
        <f>TEXT(链接表!$B$7,"yyyy年m月d日")&amp;"    时    分"</f>
        <v>2018年8月8日    时    分</v>
      </c>
      <c r="E8" s="77"/>
      <c r="F8" s="77"/>
      <c r="G8" s="77"/>
      <c r="H8" s="77"/>
    </row>
    <row r="9" spans="1:8" ht="29.95" customHeight="1">
      <c r="A9" s="80"/>
      <c r="B9" s="93"/>
      <c r="C9" s="77"/>
      <c r="D9" s="94" t="str">
        <f>TEXT(链接表!$B$7,"yyyy年m月d日")&amp;"    时    分"</f>
        <v>2018年8月8日    时    分</v>
      </c>
      <c r="E9" s="77"/>
      <c r="F9" s="77"/>
      <c r="G9" s="77"/>
      <c r="H9" s="77"/>
    </row>
    <row r="10" spans="1:8" ht="29.95" customHeight="1">
      <c r="A10" s="80"/>
      <c r="B10" s="93"/>
      <c r="C10" s="77"/>
      <c r="D10" s="94" t="str">
        <f>TEXT(链接表!$B$7,"yyyy年m月d日")&amp;"    时    分"</f>
        <v>2018年8月8日    时    分</v>
      </c>
      <c r="E10" s="77"/>
      <c r="F10" s="77"/>
      <c r="G10" s="77"/>
      <c r="H10" s="77"/>
    </row>
    <row r="11" spans="1:8" ht="29.95" customHeight="1">
      <c r="A11" s="80"/>
      <c r="B11" s="93"/>
      <c r="C11" s="77"/>
      <c r="D11" s="94" t="str">
        <f>TEXT(链接表!$B$7,"yyyy年m月d日")&amp;"    时    分"</f>
        <v>2018年8月8日    时    分</v>
      </c>
      <c r="E11" s="77"/>
      <c r="F11" s="77"/>
      <c r="G11" s="77"/>
      <c r="H11" s="77"/>
    </row>
    <row r="12" spans="1:8" ht="29.95" customHeight="1">
      <c r="A12" s="80"/>
      <c r="B12" s="95"/>
      <c r="C12" s="77"/>
      <c r="D12" s="94" t="str">
        <f>TEXT(链接表!$B$7,"yyyy年m月d日")&amp;"    时    分"</f>
        <v>2018年8月8日    时    分</v>
      </c>
      <c r="E12" s="77"/>
      <c r="F12" s="77"/>
      <c r="G12" s="77"/>
      <c r="H12" s="77"/>
    </row>
    <row r="13" spans="1:8" ht="29.95" customHeight="1">
      <c r="A13" s="80"/>
      <c r="B13" s="93"/>
      <c r="C13" s="77"/>
      <c r="D13" s="94" t="str">
        <f>TEXT(链接表!$B$7,"yyyy年m月d日")&amp;"    时    分"</f>
        <v>2018年8月8日    时    分</v>
      </c>
      <c r="E13" s="77"/>
      <c r="F13" s="77"/>
      <c r="G13" s="77"/>
      <c r="H13" s="77"/>
    </row>
    <row r="14" spans="1:8" ht="29.95" customHeight="1">
      <c r="A14" s="80"/>
      <c r="B14" s="93"/>
      <c r="C14" s="77"/>
      <c r="D14" s="94" t="str">
        <f>TEXT(链接表!$B$7,"yyyy年m月d日")&amp;"    时    分"</f>
        <v>2018年8月8日    时    分</v>
      </c>
      <c r="E14" s="77"/>
      <c r="F14" s="77"/>
      <c r="G14" s="77"/>
      <c r="H14" s="77"/>
    </row>
    <row r="15" spans="1:8" ht="29.95" customHeight="1">
      <c r="A15" s="80"/>
      <c r="B15" s="93"/>
      <c r="C15" s="77"/>
      <c r="D15" s="94" t="str">
        <f>TEXT(链接表!$B$7,"yyyy年m月d日")&amp;"    时    分"</f>
        <v>2018年8月8日    时    分</v>
      </c>
      <c r="E15" s="77"/>
      <c r="F15" s="77"/>
      <c r="G15" s="77"/>
      <c r="H15" s="77"/>
    </row>
    <row r="16" spans="1:8" ht="29.95" customHeight="1">
      <c r="A16" s="231" t="s">
        <v>48</v>
      </c>
      <c r="B16" s="225"/>
      <c r="C16" s="225"/>
      <c r="D16" s="225"/>
      <c r="E16" s="225"/>
      <c r="F16" s="225"/>
      <c r="G16" s="225"/>
      <c r="H16" s="226"/>
    </row>
  </sheetData>
  <mergeCells count="4">
    <mergeCell ref="A1:H1"/>
    <mergeCell ref="A2:H2"/>
    <mergeCell ref="A3:H3"/>
    <mergeCell ref="A16:H16"/>
  </mergeCells>
  <phoneticPr fontId="110" type="noConversion"/>
  <printOptions horizontalCentered="1"/>
  <pageMargins left="0.35416666666666702" right="0.35416666666666702" top="0.59027777777777801" bottom="0.59027777777777801" header="0.31388888888888899" footer="0.31388888888888899"/>
  <pageSetup paperSize="9"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2:I11"/>
  <sheetViews>
    <sheetView view="pageBreakPreview" zoomScaleNormal="100" zoomScaleSheetLayoutView="100" workbookViewId="0">
      <selection activeCell="E6" sqref="E6"/>
    </sheetView>
  </sheetViews>
  <sheetFormatPr defaultColWidth="9" defaultRowHeight="15.75"/>
  <cols>
    <col min="1" max="1" width="9" style="18"/>
    <col min="2" max="2" width="5.8984375" style="18" customWidth="1"/>
    <col min="3" max="6" width="9" style="18"/>
    <col min="7" max="7" width="15.69921875" style="18" customWidth="1"/>
    <col min="8" max="8" width="12.19921875" style="18" customWidth="1"/>
    <col min="9" max="9" width="51.59765625" style="18" customWidth="1"/>
    <col min="10" max="16384" width="9" style="18"/>
  </cols>
  <sheetData>
    <row r="2" spans="1:9" s="89" customFormat="1" ht="25.75" customHeight="1">
      <c r="A2" s="232" t="s">
        <v>49</v>
      </c>
      <c r="B2" s="232"/>
      <c r="C2" s="232"/>
      <c r="D2" s="232"/>
      <c r="E2" s="232"/>
      <c r="F2" s="232"/>
      <c r="G2" s="232"/>
      <c r="H2" s="232"/>
      <c r="I2" s="232"/>
    </row>
    <row r="3" spans="1:9" s="89" customFormat="1" ht="26.05">
      <c r="A3" s="90"/>
      <c r="B3" s="90"/>
      <c r="C3" s="90"/>
      <c r="D3" s="90"/>
      <c r="E3" s="90"/>
      <c r="F3" s="90"/>
      <c r="G3" s="90"/>
      <c r="H3" s="233" t="str">
        <f>TEXT(链接表!B7,"yyyy年m月d日")</f>
        <v>2018年8月8日</v>
      </c>
      <c r="I3" s="234"/>
    </row>
    <row r="4" spans="1:9" s="89" customFormat="1" ht="42.05" customHeight="1">
      <c r="A4" s="235" t="s">
        <v>50</v>
      </c>
      <c r="B4" s="236"/>
      <c r="C4" s="236" t="str">
        <f>链接表!B5</f>
        <v>信宜市旅游投资发展有限公司</v>
      </c>
      <c r="D4" s="236"/>
      <c r="E4" s="236"/>
      <c r="F4" s="236"/>
      <c r="G4" s="237"/>
      <c r="H4" s="91" t="s">
        <v>51</v>
      </c>
      <c r="I4" s="91">
        <f>链接表!B1</f>
        <v>12018094</v>
      </c>
    </row>
    <row r="5" spans="1:9" s="89" customFormat="1" ht="42.05" customHeight="1">
      <c r="A5" s="235" t="s">
        <v>52</v>
      </c>
      <c r="B5" s="236"/>
      <c r="C5" s="236" t="str">
        <f>链接表!B4</f>
        <v>信宜市绿道二期EPC项目</v>
      </c>
      <c r="D5" s="236"/>
      <c r="E5" s="236"/>
      <c r="F5" s="236"/>
      <c r="G5" s="237"/>
      <c r="H5" s="91" t="s">
        <v>53</v>
      </c>
      <c r="I5" s="91" t="str">
        <f>链接表!B2</f>
        <v>工程施工</v>
      </c>
    </row>
    <row r="6" spans="1:9" s="89" customFormat="1" ht="42.05" customHeight="1">
      <c r="A6" s="91" t="s">
        <v>26</v>
      </c>
      <c r="B6" s="238" t="s">
        <v>54</v>
      </c>
      <c r="C6" s="238"/>
      <c r="D6" s="91" t="s">
        <v>55</v>
      </c>
      <c r="E6" s="238" t="s">
        <v>56</v>
      </c>
      <c r="F6" s="238"/>
      <c r="G6" s="238"/>
      <c r="H6" s="91" t="s">
        <v>57</v>
      </c>
      <c r="I6" s="91" t="s">
        <v>45</v>
      </c>
    </row>
    <row r="7" spans="1:9" s="89" customFormat="1" ht="42.05" customHeight="1">
      <c r="A7" s="91">
        <v>1</v>
      </c>
      <c r="B7" s="238"/>
      <c r="C7" s="238"/>
      <c r="D7" s="91"/>
      <c r="E7" s="238"/>
      <c r="F7" s="238"/>
      <c r="G7" s="238"/>
      <c r="H7" s="91"/>
      <c r="I7" s="91"/>
    </row>
    <row r="8" spans="1:9" s="89" customFormat="1" ht="42.05" customHeight="1">
      <c r="A8" s="91">
        <v>2</v>
      </c>
      <c r="B8" s="238"/>
      <c r="C8" s="238"/>
      <c r="D8" s="91"/>
      <c r="E8" s="238"/>
      <c r="F8" s="238"/>
      <c r="G8" s="238"/>
      <c r="H8" s="91"/>
      <c r="I8" s="91"/>
    </row>
    <row r="9" spans="1:9" s="89" customFormat="1" ht="42.05" customHeight="1">
      <c r="A9" s="91">
        <v>3</v>
      </c>
      <c r="B9" s="238"/>
      <c r="C9" s="238"/>
      <c r="D9" s="91"/>
      <c r="E9" s="238"/>
      <c r="F9" s="238"/>
      <c r="G9" s="238"/>
      <c r="H9" s="91"/>
      <c r="I9" s="91"/>
    </row>
    <row r="10" spans="1:9" s="89" customFormat="1" ht="42.05" customHeight="1">
      <c r="A10" s="91">
        <v>4</v>
      </c>
      <c r="B10" s="238"/>
      <c r="C10" s="238"/>
      <c r="D10" s="91"/>
      <c r="E10" s="238"/>
      <c r="F10" s="238"/>
      <c r="G10" s="238"/>
      <c r="H10" s="91"/>
      <c r="I10" s="91"/>
    </row>
    <row r="11" spans="1:9" s="89" customFormat="1" ht="42.05" customHeight="1">
      <c r="A11" s="91">
        <v>5</v>
      </c>
      <c r="B11" s="238"/>
      <c r="C11" s="238"/>
      <c r="D11" s="91"/>
      <c r="E11" s="238"/>
      <c r="F11" s="238"/>
      <c r="G11" s="238"/>
      <c r="H11" s="91"/>
      <c r="I11" s="91"/>
    </row>
  </sheetData>
  <mergeCells count="18">
    <mergeCell ref="B9:C9"/>
    <mergeCell ref="E9:G9"/>
    <mergeCell ref="B10:C10"/>
    <mergeCell ref="E10:G10"/>
    <mergeCell ref="B11:C11"/>
    <mergeCell ref="E11:G11"/>
    <mergeCell ref="B6:C6"/>
    <mergeCell ref="E6:G6"/>
    <mergeCell ref="B7:C7"/>
    <mergeCell ref="E7:G7"/>
    <mergeCell ref="B8:C8"/>
    <mergeCell ref="E8:G8"/>
    <mergeCell ref="A2:I2"/>
    <mergeCell ref="H3:I3"/>
    <mergeCell ref="A4:B4"/>
    <mergeCell ref="C4:G4"/>
    <mergeCell ref="A5:B5"/>
    <mergeCell ref="C5:G5"/>
  </mergeCells>
  <phoneticPr fontId="110" type="noConversion"/>
  <pageMargins left="0.35416666666666702" right="0.35416666666666702" top="0.59027777777777801" bottom="0.59027777777777801" header="0.31388888888888899" footer="0.31388888888888899"/>
  <pageSetup paperSize="9" orientation="landscape"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14"/>
  <sheetViews>
    <sheetView view="pageBreakPreview" zoomScaleNormal="100" zoomScaleSheetLayoutView="100" workbookViewId="0">
      <selection activeCell="E6" sqref="E6"/>
    </sheetView>
  </sheetViews>
  <sheetFormatPr defaultColWidth="9" defaultRowHeight="15.75"/>
  <cols>
    <col min="1" max="1" width="7.59765625" customWidth="1"/>
    <col min="2" max="2" width="30.69921875" customWidth="1"/>
    <col min="3" max="3" width="26.09765625" customWidth="1"/>
    <col min="4" max="4" width="23.09765625" customWidth="1"/>
    <col min="5" max="5" width="23.5" customWidth="1"/>
    <col min="6" max="6" width="15.59765625" customWidth="1"/>
  </cols>
  <sheetData>
    <row r="1" spans="1:6" ht="51" customHeight="1">
      <c r="A1" s="239" t="str">
        <f>链接表!B4&amp;CHAR(10)&amp;"开标现场投标人银行保函记录表"</f>
        <v>信宜市绿道二期EPC项目
开标现场投标人银行保函记录表</v>
      </c>
      <c r="B1" s="239"/>
      <c r="C1" s="239"/>
      <c r="D1" s="239"/>
      <c r="E1" s="239"/>
      <c r="F1" s="239"/>
    </row>
    <row r="2" spans="1:6" ht="18.149999999999999" customHeight="1">
      <c r="A2" s="228" t="str">
        <f>链接表!A4&amp;链接表!B4</f>
        <v>项目名称：信宜市绿道二期EPC项目</v>
      </c>
      <c r="B2" s="228"/>
      <c r="C2" s="228"/>
      <c r="D2" s="228"/>
      <c r="E2" s="228"/>
      <c r="F2" s="228"/>
    </row>
    <row r="3" spans="1:6" s="71" customFormat="1" ht="18.149999999999999" customHeight="1">
      <c r="A3" s="230" t="str">
        <f>链接表!A6&amp;链接表!B6</f>
        <v>招标代理：深圳群伦项目管理有限公司</v>
      </c>
      <c r="B3" s="230"/>
      <c r="C3" s="230"/>
      <c r="D3" s="230"/>
      <c r="E3" s="230"/>
      <c r="F3" s="230"/>
    </row>
    <row r="4" spans="1:6" ht="36.950000000000003" customHeight="1">
      <c r="A4" s="80" t="s">
        <v>26</v>
      </c>
      <c r="B4" s="80" t="s">
        <v>58</v>
      </c>
      <c r="C4" s="81" t="s">
        <v>59</v>
      </c>
      <c r="D4" s="82" t="s">
        <v>60</v>
      </c>
      <c r="E4" s="54" t="s">
        <v>61</v>
      </c>
      <c r="F4" s="83" t="s">
        <v>62</v>
      </c>
    </row>
    <row r="5" spans="1:6" ht="29.95" customHeight="1">
      <c r="A5" s="80">
        <v>1</v>
      </c>
      <c r="B5" s="84"/>
      <c r="C5" s="85"/>
      <c r="D5" s="86"/>
      <c r="E5" s="87"/>
      <c r="F5" s="88"/>
    </row>
    <row r="6" spans="1:6" ht="29.95" customHeight="1">
      <c r="A6" s="80">
        <v>2</v>
      </c>
      <c r="B6" s="84"/>
      <c r="C6" s="85"/>
      <c r="D6" s="86"/>
      <c r="E6" s="87"/>
      <c r="F6" s="88"/>
    </row>
    <row r="7" spans="1:6" ht="29.95" customHeight="1">
      <c r="A7" s="80">
        <v>3</v>
      </c>
      <c r="B7" s="84"/>
      <c r="C7" s="85"/>
      <c r="D7" s="86"/>
      <c r="E7" s="87"/>
      <c r="F7" s="88"/>
    </row>
    <row r="8" spans="1:6" ht="29.95" customHeight="1">
      <c r="A8" s="80">
        <v>4</v>
      </c>
      <c r="B8" s="84"/>
      <c r="C8" s="85"/>
      <c r="D8" s="86"/>
      <c r="E8" s="87"/>
      <c r="F8" s="88"/>
    </row>
    <row r="9" spans="1:6" ht="29.95" customHeight="1">
      <c r="A9" s="80">
        <v>5</v>
      </c>
      <c r="B9" s="84"/>
      <c r="C9" s="85"/>
      <c r="D9" s="86"/>
      <c r="E9" s="87"/>
      <c r="F9" s="88"/>
    </row>
    <row r="10" spans="1:6" ht="29.95" customHeight="1">
      <c r="A10" s="80">
        <v>6</v>
      </c>
      <c r="B10" s="84"/>
      <c r="C10" s="85"/>
      <c r="D10" s="86"/>
      <c r="E10" s="87"/>
      <c r="F10" s="88"/>
    </row>
    <row r="11" spans="1:6" ht="29.95" customHeight="1">
      <c r="A11" s="80">
        <v>7</v>
      </c>
      <c r="B11" s="84"/>
      <c r="C11" s="85"/>
      <c r="D11" s="86"/>
      <c r="E11" s="87"/>
      <c r="F11" s="88"/>
    </row>
    <row r="12" spans="1:6" ht="29.95" customHeight="1">
      <c r="A12" s="80">
        <v>8</v>
      </c>
      <c r="B12" s="84"/>
      <c r="C12" s="85"/>
      <c r="D12" s="86"/>
      <c r="E12" s="87"/>
      <c r="F12" s="88"/>
    </row>
    <row r="13" spans="1:6" ht="29.95" customHeight="1">
      <c r="A13" s="80">
        <v>9</v>
      </c>
      <c r="B13" s="84"/>
      <c r="C13" s="85"/>
      <c r="D13" s="86"/>
      <c r="E13" s="87"/>
      <c r="F13" s="88"/>
    </row>
    <row r="14" spans="1:6" ht="29.95" customHeight="1">
      <c r="A14" s="80">
        <v>10</v>
      </c>
      <c r="B14" s="84"/>
      <c r="C14" s="85"/>
      <c r="D14" s="86"/>
      <c r="E14" s="87"/>
      <c r="F14" s="88"/>
    </row>
  </sheetData>
  <mergeCells count="3">
    <mergeCell ref="A1:F1"/>
    <mergeCell ref="A2:F2"/>
    <mergeCell ref="A3:F3"/>
  </mergeCells>
  <phoneticPr fontId="110" type="noConversion"/>
  <printOptions horizontalCentered="1"/>
  <pageMargins left="0.55416666666666703" right="0.55416666666666703" top="0.80277777777777803" bottom="0.80277777777777803" header="0.51180555555555596" footer="0.51180555555555596"/>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5"/>
  <sheetViews>
    <sheetView view="pageBreakPreview" zoomScaleNormal="100" zoomScaleSheetLayoutView="100" workbookViewId="0">
      <selection activeCell="E6" sqref="E6"/>
    </sheetView>
  </sheetViews>
  <sheetFormatPr defaultColWidth="9" defaultRowHeight="15.75"/>
  <cols>
    <col min="1" max="1" width="6.69921875" customWidth="1"/>
    <col min="2" max="2" width="9" customWidth="1"/>
    <col min="3" max="3" width="14.59765625" customWidth="1"/>
    <col min="4" max="4" width="7.59765625" customWidth="1"/>
    <col min="5" max="5" width="47.69921875" customWidth="1"/>
    <col min="6" max="6" width="14.69921875" customWidth="1"/>
    <col min="7" max="7" width="20.69921875" customWidth="1"/>
    <col min="8" max="8" width="9.69921875" customWidth="1"/>
  </cols>
  <sheetData>
    <row r="1" spans="1:8" ht="42.05" customHeight="1">
      <c r="A1" s="244" t="str">
        <f>链接表!B4&amp;CHAR(10)&amp;"开标会议签到表"</f>
        <v>信宜市绿道二期EPC项目
开标会议签到表</v>
      </c>
      <c r="B1" s="245"/>
      <c r="C1" s="245"/>
      <c r="D1" s="245"/>
      <c r="E1" s="245"/>
      <c r="F1" s="245"/>
      <c r="G1" s="245"/>
      <c r="H1" s="245"/>
    </row>
    <row r="2" spans="1:8" ht="20.149999999999999" customHeight="1">
      <c r="A2" s="246" t="str">
        <f>链接表!A5&amp;链接表!B5</f>
        <v>招标人：信宜市旅游投资发展有限公司</v>
      </c>
      <c r="B2" s="246"/>
      <c r="C2" s="246"/>
      <c r="D2" s="246"/>
      <c r="E2" s="246"/>
      <c r="F2" s="246"/>
      <c r="G2" s="246"/>
      <c r="H2" s="246"/>
    </row>
    <row r="3" spans="1:8" s="71" customFormat="1" ht="20.149999999999999" customHeight="1">
      <c r="A3" s="247" t="str">
        <f>链接表!A6&amp;链接表!B6</f>
        <v>招标代理：深圳群伦项目管理有限公司</v>
      </c>
      <c r="B3" s="247"/>
      <c r="C3" s="247"/>
      <c r="D3" s="247"/>
      <c r="E3" s="247"/>
      <c r="F3" s="247"/>
      <c r="G3" s="248" t="str">
        <f>TEXT(链接表!B7,"yyyy年m月d日")</f>
        <v>2018年8月8日</v>
      </c>
      <c r="H3" s="248"/>
    </row>
    <row r="4" spans="1:8" ht="39.049999999999997" customHeight="1">
      <c r="A4" s="78" t="s">
        <v>26</v>
      </c>
      <c r="B4" s="78" t="s">
        <v>63</v>
      </c>
      <c r="C4" s="79" t="s">
        <v>64</v>
      </c>
      <c r="D4" s="79" t="s">
        <v>55</v>
      </c>
      <c r="E4" s="79" t="s">
        <v>56</v>
      </c>
      <c r="F4" s="78" t="s">
        <v>65</v>
      </c>
      <c r="G4" s="79" t="s">
        <v>34</v>
      </c>
      <c r="H4" s="73" t="s">
        <v>35</v>
      </c>
    </row>
    <row r="5" spans="1:8" ht="29.95" customHeight="1">
      <c r="A5" s="74">
        <v>1</v>
      </c>
      <c r="B5" s="240" t="s">
        <v>66</v>
      </c>
      <c r="C5" s="76"/>
      <c r="D5" s="76"/>
      <c r="E5" s="76"/>
      <c r="F5" s="76"/>
      <c r="G5" s="76"/>
      <c r="H5" s="77"/>
    </row>
    <row r="6" spans="1:8" ht="29.95" customHeight="1">
      <c r="A6" s="74">
        <v>2</v>
      </c>
      <c r="B6" s="241"/>
      <c r="C6" s="76"/>
      <c r="D6" s="76"/>
      <c r="E6" s="76"/>
      <c r="F6" s="76"/>
      <c r="G6" s="76"/>
      <c r="H6" s="77"/>
    </row>
    <row r="7" spans="1:8" ht="29.95" customHeight="1">
      <c r="A7" s="74">
        <v>3</v>
      </c>
      <c r="B7" s="243"/>
      <c r="C7" s="76"/>
      <c r="D7" s="76"/>
      <c r="E7" s="76"/>
      <c r="F7" s="76"/>
      <c r="G7" s="76"/>
      <c r="H7" s="77"/>
    </row>
    <row r="8" spans="1:8" ht="29.95" customHeight="1">
      <c r="A8" s="74">
        <v>4</v>
      </c>
      <c r="B8" s="240" t="s">
        <v>67</v>
      </c>
      <c r="C8" s="76"/>
      <c r="D8" s="76"/>
      <c r="E8" s="76"/>
      <c r="F8" s="76"/>
      <c r="G8" s="76"/>
      <c r="H8" s="77"/>
    </row>
    <row r="9" spans="1:8" ht="29.95" customHeight="1">
      <c r="A9" s="74">
        <v>5</v>
      </c>
      <c r="B9" s="241"/>
      <c r="C9" s="76"/>
      <c r="D9" s="76"/>
      <c r="E9" s="76"/>
      <c r="F9" s="76"/>
      <c r="G9" s="76"/>
      <c r="H9" s="77"/>
    </row>
    <row r="10" spans="1:8" ht="29.95" customHeight="1">
      <c r="A10" s="74">
        <v>6</v>
      </c>
      <c r="B10" s="242"/>
      <c r="C10" s="76"/>
      <c r="D10" s="76"/>
      <c r="E10" s="76"/>
      <c r="F10" s="76"/>
      <c r="G10" s="76"/>
      <c r="H10" s="77"/>
    </row>
    <row r="11" spans="1:8" ht="29.95" customHeight="1">
      <c r="A11" s="74">
        <v>7</v>
      </c>
      <c r="B11" s="240" t="s">
        <v>68</v>
      </c>
      <c r="C11" s="76"/>
      <c r="D11" s="76"/>
      <c r="E11" s="76"/>
      <c r="F11" s="76"/>
      <c r="G11" s="76"/>
      <c r="H11" s="77"/>
    </row>
    <row r="12" spans="1:8" ht="29.95" customHeight="1">
      <c r="A12" s="74">
        <v>8</v>
      </c>
      <c r="B12" s="241"/>
      <c r="C12" s="76"/>
      <c r="D12" s="76"/>
      <c r="E12" s="76"/>
      <c r="F12" s="76"/>
      <c r="G12" s="76"/>
      <c r="H12" s="77"/>
    </row>
    <row r="13" spans="1:8" ht="29.95" customHeight="1">
      <c r="A13" s="74">
        <v>9</v>
      </c>
      <c r="B13" s="243"/>
      <c r="C13" s="76"/>
      <c r="D13" s="76"/>
      <c r="E13" s="76"/>
      <c r="F13" s="76"/>
      <c r="G13" s="76"/>
      <c r="H13" s="77"/>
    </row>
    <row r="14" spans="1:8" ht="29.95" customHeight="1">
      <c r="A14" s="74">
        <v>10</v>
      </c>
      <c r="B14" s="240" t="s">
        <v>69</v>
      </c>
      <c r="C14" s="76"/>
      <c r="D14" s="76"/>
      <c r="E14" s="76"/>
      <c r="F14" s="76"/>
      <c r="G14" s="76"/>
      <c r="H14" s="77"/>
    </row>
    <row r="15" spans="1:8" ht="29.95" customHeight="1">
      <c r="A15" s="74">
        <v>11</v>
      </c>
      <c r="B15" s="243"/>
      <c r="C15" s="76"/>
      <c r="D15" s="76"/>
      <c r="E15" s="76"/>
      <c r="F15" s="76"/>
      <c r="G15" s="76"/>
      <c r="H15" s="77"/>
    </row>
  </sheetData>
  <mergeCells count="8">
    <mergeCell ref="B8:B10"/>
    <mergeCell ref="B11:B13"/>
    <mergeCell ref="B14:B15"/>
    <mergeCell ref="A1:H1"/>
    <mergeCell ref="A2:H2"/>
    <mergeCell ref="A3:F3"/>
    <mergeCell ref="G3:H3"/>
    <mergeCell ref="B5:B7"/>
  </mergeCells>
  <phoneticPr fontId="110" type="noConversion"/>
  <printOptions horizontalCentered="1"/>
  <pageMargins left="0.35416666666666702" right="0.35416666666666702" top="0.59027777777777801" bottom="0.59027777777777801" header="0.31388888888888899" footer="0.31388888888888899"/>
  <pageSetup paperSize="9"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H10"/>
  <sheetViews>
    <sheetView view="pageBreakPreview" zoomScaleNormal="100" zoomScaleSheetLayoutView="100" workbookViewId="0">
      <selection activeCell="E6" sqref="E6"/>
    </sheetView>
  </sheetViews>
  <sheetFormatPr defaultColWidth="9" defaultRowHeight="15.75"/>
  <cols>
    <col min="1" max="1" width="6.69921875" customWidth="1"/>
    <col min="2" max="2" width="9" customWidth="1"/>
    <col min="3" max="3" width="15.19921875" customWidth="1"/>
    <col min="4" max="4" width="7.59765625" customWidth="1"/>
    <col min="5" max="5" width="47.59765625" customWidth="1"/>
    <col min="6" max="6" width="14.69921875" customWidth="1"/>
    <col min="7" max="7" width="20.69921875" customWidth="1"/>
    <col min="8" max="8" width="9.69921875" customWidth="1"/>
  </cols>
  <sheetData>
    <row r="1" spans="1:8" ht="42.05" customHeight="1">
      <c r="A1" s="244" t="str">
        <f>链接表!B4&amp;CHAR(10)&amp;"评标会议监督人员签到表"</f>
        <v>信宜市绿道二期EPC项目
评标会议监督人员签到表</v>
      </c>
      <c r="B1" s="245"/>
      <c r="C1" s="245"/>
      <c r="D1" s="245"/>
      <c r="E1" s="245"/>
      <c r="F1" s="245"/>
      <c r="G1" s="245"/>
      <c r="H1" s="245"/>
    </row>
    <row r="2" spans="1:8" ht="20.149999999999999" customHeight="1">
      <c r="A2" s="246" t="str">
        <f>链接表!A5&amp;链接表!B5</f>
        <v>招标人：信宜市旅游投资发展有限公司</v>
      </c>
      <c r="B2" s="246"/>
      <c r="C2" s="246"/>
      <c r="D2" s="246"/>
      <c r="E2" s="246"/>
      <c r="F2" s="246"/>
      <c r="G2" s="246"/>
      <c r="H2" s="246"/>
    </row>
    <row r="3" spans="1:8" s="71" customFormat="1" ht="20.149999999999999" customHeight="1">
      <c r="A3" s="247" t="str">
        <f>链接表!A6&amp;链接表!B6</f>
        <v>招标代理：深圳群伦项目管理有限公司</v>
      </c>
      <c r="B3" s="247"/>
      <c r="C3" s="247"/>
      <c r="D3" s="247"/>
      <c r="E3" s="247"/>
      <c r="F3" s="247"/>
      <c r="G3" s="248" t="str">
        <f>TEXT(链接表!B7,"yyyy年m月d日")</f>
        <v>2018年8月8日</v>
      </c>
      <c r="H3" s="248"/>
    </row>
    <row r="4" spans="1:8" s="71" customFormat="1" ht="31.5">
      <c r="A4" s="72" t="s">
        <v>26</v>
      </c>
      <c r="B4" s="72" t="s">
        <v>63</v>
      </c>
      <c r="C4" s="72" t="s">
        <v>54</v>
      </c>
      <c r="D4" s="72" t="s">
        <v>55</v>
      </c>
      <c r="E4" s="72" t="s">
        <v>56</v>
      </c>
      <c r="F4" s="72" t="s">
        <v>70</v>
      </c>
      <c r="G4" s="73" t="s">
        <v>34</v>
      </c>
      <c r="H4" s="73" t="s">
        <v>35</v>
      </c>
    </row>
    <row r="5" spans="1:8" ht="39.35" customHeight="1">
      <c r="A5" s="74">
        <v>1</v>
      </c>
      <c r="B5" s="240" t="s">
        <v>66</v>
      </c>
      <c r="C5" s="76"/>
      <c r="D5" s="76"/>
      <c r="E5" s="76"/>
      <c r="F5" s="76"/>
      <c r="G5" s="76"/>
      <c r="H5" s="77"/>
    </row>
    <row r="6" spans="1:8" ht="39.35" customHeight="1">
      <c r="A6" s="74">
        <v>2</v>
      </c>
      <c r="B6" s="241"/>
      <c r="C6" s="76"/>
      <c r="D6" s="76"/>
      <c r="E6" s="76"/>
      <c r="F6" s="76"/>
      <c r="G6" s="76"/>
      <c r="H6" s="77"/>
    </row>
    <row r="7" spans="1:8" ht="39.35" customHeight="1">
      <c r="A7" s="74">
        <v>3</v>
      </c>
      <c r="B7" s="243"/>
      <c r="C7" s="76"/>
      <c r="D7" s="76"/>
      <c r="E7" s="76"/>
      <c r="F7" s="76"/>
      <c r="G7" s="76"/>
      <c r="H7" s="77"/>
    </row>
    <row r="8" spans="1:8" ht="39.35" customHeight="1">
      <c r="A8" s="74">
        <v>4</v>
      </c>
      <c r="B8" s="240" t="s">
        <v>67</v>
      </c>
      <c r="C8" s="76"/>
      <c r="D8" s="76"/>
      <c r="E8" s="76"/>
      <c r="F8" s="76"/>
      <c r="G8" s="76"/>
      <c r="H8" s="77"/>
    </row>
    <row r="9" spans="1:8" ht="39.35" customHeight="1">
      <c r="A9" s="74">
        <v>5</v>
      </c>
      <c r="B9" s="241"/>
      <c r="C9" s="76"/>
      <c r="D9" s="76"/>
      <c r="E9" s="76"/>
      <c r="F9" s="76"/>
      <c r="G9" s="76"/>
      <c r="H9" s="77"/>
    </row>
    <row r="10" spans="1:8" ht="39.35" customHeight="1">
      <c r="A10" s="74">
        <v>6</v>
      </c>
      <c r="B10" s="242"/>
      <c r="C10" s="76"/>
      <c r="D10" s="76"/>
      <c r="E10" s="76"/>
      <c r="F10" s="76"/>
      <c r="G10" s="76"/>
      <c r="H10" s="77"/>
    </row>
  </sheetData>
  <mergeCells count="6">
    <mergeCell ref="B8:B10"/>
    <mergeCell ref="A1:H1"/>
    <mergeCell ref="A2:H2"/>
    <mergeCell ref="A3:F3"/>
    <mergeCell ref="G3:H3"/>
    <mergeCell ref="B5:B7"/>
  </mergeCells>
  <phoneticPr fontId="110" type="noConversion"/>
  <printOptions horizontalCentered="1"/>
  <pageMargins left="0.35416666666666702" right="0.35416666666666702" top="0.59027777777777801" bottom="0.59027777777777801" header="0.31388888888888899" footer="0.31388888888888899"/>
  <pageSetup paperSize="9"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10"/>
  <sheetViews>
    <sheetView view="pageBreakPreview" zoomScaleNormal="100" zoomScaleSheetLayoutView="100" workbookViewId="0">
      <selection activeCell="E6" sqref="E6"/>
    </sheetView>
  </sheetViews>
  <sheetFormatPr defaultColWidth="9" defaultRowHeight="15.75"/>
  <cols>
    <col min="1" max="1" width="6.69921875" customWidth="1"/>
    <col min="2" max="2" width="9" customWidth="1"/>
    <col min="3" max="3" width="14.59765625" customWidth="1"/>
    <col min="4" max="4" width="7.59765625" customWidth="1"/>
    <col min="5" max="5" width="47.296875" customWidth="1"/>
    <col min="6" max="6" width="14.69921875" customWidth="1"/>
    <col min="7" max="7" width="20.69921875" customWidth="1"/>
    <col min="8" max="8" width="9.69921875" customWidth="1"/>
  </cols>
  <sheetData>
    <row r="1" spans="1:8" ht="42.05" customHeight="1">
      <c r="A1" s="244" t="str">
        <f>链接表!B4&amp;CHAR(10)&amp;"评标会议工作人员签到表"</f>
        <v>信宜市绿道二期EPC项目
评标会议工作人员签到表</v>
      </c>
      <c r="B1" s="245"/>
      <c r="C1" s="245"/>
      <c r="D1" s="245"/>
      <c r="E1" s="245"/>
      <c r="F1" s="245"/>
      <c r="G1" s="245"/>
      <c r="H1" s="245"/>
    </row>
    <row r="2" spans="1:8" ht="20.149999999999999" customHeight="1">
      <c r="A2" s="246" t="str">
        <f>链接表!A5&amp;链接表!B5</f>
        <v>招标人：信宜市旅游投资发展有限公司</v>
      </c>
      <c r="B2" s="246"/>
      <c r="C2" s="246"/>
      <c r="D2" s="246"/>
      <c r="E2" s="246"/>
      <c r="F2" s="246"/>
      <c r="G2" s="246"/>
      <c r="H2" s="246"/>
    </row>
    <row r="3" spans="1:8" s="71" customFormat="1" ht="20.149999999999999" customHeight="1">
      <c r="A3" s="247" t="str">
        <f>链接表!A6&amp;链接表!B6</f>
        <v>招标代理：深圳群伦项目管理有限公司</v>
      </c>
      <c r="B3" s="247"/>
      <c r="C3" s="247"/>
      <c r="D3" s="247"/>
      <c r="E3" s="247"/>
      <c r="F3" s="247"/>
      <c r="G3" s="248" t="str">
        <f>TEXT(链接表!B7,"yyyy年m月d日")</f>
        <v>2018年8月8日</v>
      </c>
      <c r="H3" s="248"/>
    </row>
    <row r="4" spans="1:8" s="71" customFormat="1" ht="31.5">
      <c r="A4" s="72" t="s">
        <v>26</v>
      </c>
      <c r="B4" s="72" t="s">
        <v>63</v>
      </c>
      <c r="C4" s="72" t="s">
        <v>54</v>
      </c>
      <c r="D4" s="72" t="s">
        <v>55</v>
      </c>
      <c r="E4" s="72" t="s">
        <v>56</v>
      </c>
      <c r="F4" s="72" t="s">
        <v>70</v>
      </c>
      <c r="G4" s="73" t="s">
        <v>34</v>
      </c>
      <c r="H4" s="73" t="s">
        <v>35</v>
      </c>
    </row>
    <row r="5" spans="1:8" ht="38.15" customHeight="1">
      <c r="A5" s="74">
        <v>1</v>
      </c>
      <c r="B5" s="75"/>
      <c r="C5" s="76"/>
      <c r="D5" s="76"/>
      <c r="E5" s="76"/>
      <c r="F5" s="76"/>
      <c r="G5" s="76"/>
      <c r="H5" s="77"/>
    </row>
    <row r="6" spans="1:8" ht="38.15" customHeight="1">
      <c r="A6" s="74">
        <v>2</v>
      </c>
      <c r="B6" s="75"/>
      <c r="C6" s="76"/>
      <c r="D6" s="76"/>
      <c r="E6" s="76"/>
      <c r="F6" s="76"/>
      <c r="G6" s="76"/>
      <c r="H6" s="77"/>
    </row>
    <row r="7" spans="1:8" ht="38.15" customHeight="1">
      <c r="A7" s="74">
        <v>3</v>
      </c>
      <c r="B7" s="75"/>
      <c r="C7" s="76"/>
      <c r="D7" s="76"/>
      <c r="E7" s="76"/>
      <c r="F7" s="76"/>
      <c r="G7" s="76"/>
      <c r="H7" s="77"/>
    </row>
    <row r="8" spans="1:8" ht="38.15" customHeight="1">
      <c r="A8" s="74">
        <v>4</v>
      </c>
      <c r="B8" s="75"/>
      <c r="C8" s="76"/>
      <c r="D8" s="76"/>
      <c r="E8" s="76"/>
      <c r="F8" s="76"/>
      <c r="G8" s="76"/>
      <c r="H8" s="77"/>
    </row>
    <row r="9" spans="1:8" ht="38.15" customHeight="1">
      <c r="A9" s="74">
        <v>5</v>
      </c>
      <c r="B9" s="75"/>
      <c r="C9" s="76"/>
      <c r="D9" s="76"/>
      <c r="E9" s="76"/>
      <c r="F9" s="76"/>
      <c r="G9" s="76"/>
      <c r="H9" s="77"/>
    </row>
    <row r="10" spans="1:8" ht="38.15" customHeight="1">
      <c r="A10" s="74">
        <v>6</v>
      </c>
      <c r="B10" s="75"/>
      <c r="C10" s="76"/>
      <c r="D10" s="76"/>
      <c r="E10" s="76"/>
      <c r="F10" s="76"/>
      <c r="G10" s="76"/>
      <c r="H10" s="77"/>
    </row>
  </sheetData>
  <mergeCells count="4">
    <mergeCell ref="A1:H1"/>
    <mergeCell ref="A2:H2"/>
    <mergeCell ref="A3:F3"/>
    <mergeCell ref="G3:H3"/>
  </mergeCells>
  <phoneticPr fontId="110" type="noConversion"/>
  <printOptions horizontalCentered="1"/>
  <pageMargins left="0.78680555555555598" right="0.78680555555555598" top="0.59027777777777801" bottom="0.59027777777777801" header="0.31388888888888899" footer="0.31388888888888899"/>
  <pageSetup paperSize="9" scale="92"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T10"/>
  <sheetViews>
    <sheetView zoomScale="85" zoomScaleNormal="85" zoomScaleSheetLayoutView="85" workbookViewId="0">
      <selection activeCell="K8" sqref="K8"/>
    </sheetView>
  </sheetViews>
  <sheetFormatPr defaultColWidth="9" defaultRowHeight="15.75"/>
  <cols>
    <col min="1" max="1" width="3.8984375" customWidth="1"/>
    <col min="2" max="2" width="30.296875" style="57" customWidth="1"/>
    <col min="3" max="3" width="9" customWidth="1"/>
    <col min="4" max="4" width="10.59765625" customWidth="1"/>
    <col min="5" max="5" width="9" customWidth="1"/>
    <col min="6" max="6" width="11" customWidth="1"/>
    <col min="7" max="8" width="6.296875" customWidth="1"/>
    <col min="9" max="9" width="10" style="60" customWidth="1"/>
    <col min="10" max="11" width="9.5" style="61" customWidth="1"/>
    <col min="12" max="12" width="8.69921875" style="61" customWidth="1"/>
    <col min="13" max="13" width="9.296875" customWidth="1"/>
    <col min="14" max="17" width="13.8984375" customWidth="1"/>
    <col min="18" max="18" width="13.59765625" customWidth="1"/>
    <col min="19" max="19" width="13.5" customWidth="1"/>
    <col min="20" max="20" width="16.19921875" customWidth="1"/>
    <col min="21" max="21" width="12.09765625" customWidth="1"/>
    <col min="22" max="22" width="11.59765625" customWidth="1"/>
    <col min="23" max="23" width="7.19921875" customWidth="1"/>
    <col min="24" max="24" width="12.19921875" customWidth="1"/>
    <col min="25" max="25" width="13.09765625" customWidth="1"/>
    <col min="26" max="26" width="12.8984375" customWidth="1"/>
    <col min="28" max="28" width="11.59765625"/>
    <col min="29" max="29" width="12.5" customWidth="1"/>
  </cols>
  <sheetData>
    <row r="1" spans="1:20" ht="27.25" customHeight="1">
      <c r="A1" s="249" t="str">
        <f>链接表!B4&amp;"招标开标现场记录表"</f>
        <v>信宜市绿道二期EPC项目招标开标现场记录表</v>
      </c>
      <c r="B1" s="249"/>
      <c r="C1" s="249"/>
      <c r="D1" s="249"/>
      <c r="E1" s="249"/>
      <c r="F1" s="249"/>
      <c r="G1" s="249"/>
      <c r="H1" s="249"/>
      <c r="I1" s="249"/>
      <c r="J1" s="249"/>
      <c r="K1" s="249"/>
      <c r="L1" s="249"/>
      <c r="M1" s="249"/>
      <c r="N1" s="159"/>
      <c r="O1" s="159"/>
      <c r="P1" s="159"/>
      <c r="Q1" s="159"/>
      <c r="R1" s="44"/>
    </row>
    <row r="2" spans="1:20" ht="26.2" customHeight="1">
      <c r="A2" s="250" t="str">
        <f>链接表!A5&amp;链接表!B5</f>
        <v>招标人：信宜市旅游投资发展有限公司</v>
      </c>
      <c r="B2" s="250"/>
      <c r="C2" s="250"/>
      <c r="D2" s="250"/>
      <c r="E2" s="250"/>
      <c r="F2" s="250"/>
      <c r="G2" s="250"/>
      <c r="H2" s="250"/>
      <c r="I2" s="250"/>
      <c r="J2" s="250" t="str">
        <f>链接表!A8&amp;链接表!B8</f>
        <v>开标地点：信宜市公共资源交易中心</v>
      </c>
      <c r="K2" s="250"/>
      <c r="L2" s="250"/>
      <c r="M2" s="250"/>
      <c r="N2" s="115"/>
      <c r="O2" s="115"/>
      <c r="P2" s="115"/>
      <c r="Q2" s="115"/>
      <c r="R2" s="44"/>
    </row>
    <row r="3" spans="1:20" ht="26.2" customHeight="1">
      <c r="A3" s="250" t="str">
        <f>链接表!A6&amp;链接表!B6</f>
        <v>招标代理：深圳群伦项目管理有限公司</v>
      </c>
      <c r="B3" s="250"/>
      <c r="C3" s="250"/>
      <c r="D3" s="250"/>
      <c r="E3" s="250"/>
      <c r="F3" s="250"/>
      <c r="G3" s="250"/>
      <c r="H3" s="250"/>
      <c r="I3" s="250"/>
      <c r="J3" s="250" t="str">
        <f>链接表!A9&amp;链接表!B9</f>
        <v>开标时间：2018年8月8日9时30分</v>
      </c>
      <c r="K3" s="250"/>
      <c r="L3" s="250"/>
      <c r="M3" s="250"/>
      <c r="N3" s="115"/>
      <c r="O3" s="115"/>
      <c r="P3" s="115"/>
      <c r="Q3" s="115"/>
      <c r="R3" s="44"/>
    </row>
    <row r="4" spans="1:20" s="34" customFormat="1" ht="65.349999999999994" customHeight="1">
      <c r="A4" s="62" t="s">
        <v>26</v>
      </c>
      <c r="B4" s="62" t="s">
        <v>71</v>
      </c>
      <c r="C4" s="62" t="s">
        <v>72</v>
      </c>
      <c r="D4" s="161" t="s">
        <v>73</v>
      </c>
      <c r="E4" s="62" t="s">
        <v>74</v>
      </c>
      <c r="F4" s="62" t="s">
        <v>75</v>
      </c>
      <c r="G4" s="62" t="s">
        <v>384</v>
      </c>
      <c r="H4" s="157" t="s">
        <v>385</v>
      </c>
      <c r="I4" s="62" t="s">
        <v>76</v>
      </c>
      <c r="J4" s="156" t="s">
        <v>445</v>
      </c>
      <c r="K4" s="156" t="s">
        <v>446</v>
      </c>
      <c r="L4" s="62" t="s">
        <v>77</v>
      </c>
      <c r="M4" s="62" t="s">
        <v>78</v>
      </c>
      <c r="N4" s="160"/>
      <c r="O4" s="160"/>
      <c r="P4" s="160"/>
      <c r="Q4" s="160"/>
      <c r="S4" s="67" t="s">
        <v>382</v>
      </c>
      <c r="T4" s="68" t="s">
        <v>383</v>
      </c>
    </row>
    <row r="5" spans="1:20" s="34" customFormat="1" ht="51" customHeight="1">
      <c r="A5" s="45">
        <v>1</v>
      </c>
      <c r="B5" s="63" t="str">
        <f>IF(链接表!B35="","",链接表!B35)</f>
        <v>广东省001某某工程股份有限公司</v>
      </c>
      <c r="C5" s="62" t="s">
        <v>79</v>
      </c>
      <c r="D5" s="64" t="s">
        <v>80</v>
      </c>
      <c r="E5" s="65" t="s">
        <v>81</v>
      </c>
      <c r="F5" s="62" t="s">
        <v>82</v>
      </c>
      <c r="G5" s="62">
        <v>50</v>
      </c>
      <c r="H5" s="66">
        <v>210</v>
      </c>
      <c r="I5" s="62" t="s">
        <v>376</v>
      </c>
      <c r="J5" s="156">
        <v>0.1</v>
      </c>
      <c r="K5" s="156">
        <v>0.06</v>
      </c>
      <c r="L5" s="65" t="s">
        <v>83</v>
      </c>
      <c r="M5" s="62"/>
      <c r="N5" s="160"/>
      <c r="O5" s="160"/>
      <c r="P5" s="160"/>
      <c r="Q5" s="160"/>
      <c r="S5" s="69">
        <f>(1-J5)*链接表!$B$14</f>
        <v>4794480</v>
      </c>
      <c r="T5" s="69">
        <f>(1-K5)*链接表!$B$13</f>
        <v>121998746</v>
      </c>
    </row>
    <row r="6" spans="1:20" s="34" customFormat="1" ht="51" customHeight="1">
      <c r="A6" s="45">
        <v>2</v>
      </c>
      <c r="B6" s="63" t="str">
        <f>IF(链接表!B36="","",链接表!B36)</f>
        <v>广东省002某某工程股份有限公司</v>
      </c>
      <c r="C6" s="62" t="s">
        <v>79</v>
      </c>
      <c r="D6" s="64" t="s">
        <v>80</v>
      </c>
      <c r="E6" s="65" t="s">
        <v>81</v>
      </c>
      <c r="F6" s="62" t="s">
        <v>84</v>
      </c>
      <c r="G6" s="62">
        <v>50</v>
      </c>
      <c r="H6" s="66">
        <v>210</v>
      </c>
      <c r="I6" s="62" t="s">
        <v>377</v>
      </c>
      <c r="J6" s="156">
        <v>0.12</v>
      </c>
      <c r="K6" s="156">
        <v>7.0000000000000007E-2</v>
      </c>
      <c r="L6" s="65" t="s">
        <v>83</v>
      </c>
      <c r="M6" s="62"/>
      <c r="N6" s="160"/>
      <c r="O6" s="160"/>
      <c r="P6" s="160"/>
      <c r="Q6" s="160"/>
      <c r="S6" s="69">
        <f>(1-J6)*链接表!$B$14</f>
        <v>4687936</v>
      </c>
      <c r="T6" s="69">
        <f>(1-K6)*链接表!$B$13</f>
        <v>120700887</v>
      </c>
    </row>
    <row r="7" spans="1:20" s="34" customFormat="1" ht="51" customHeight="1">
      <c r="A7" s="45">
        <v>3</v>
      </c>
      <c r="B7" s="63" t="str">
        <f>IF(链接表!B37="","",链接表!B37)</f>
        <v>广东省003某某工程股份有限公司</v>
      </c>
      <c r="C7" s="62" t="s">
        <v>79</v>
      </c>
      <c r="D7" s="64" t="s">
        <v>80</v>
      </c>
      <c r="E7" s="65" t="s">
        <v>81</v>
      </c>
      <c r="F7" s="62" t="s">
        <v>82</v>
      </c>
      <c r="G7" s="62">
        <v>50</v>
      </c>
      <c r="H7" s="66">
        <v>210</v>
      </c>
      <c r="I7" s="62" t="s">
        <v>378</v>
      </c>
      <c r="J7" s="156">
        <v>0.11</v>
      </c>
      <c r="K7" s="156">
        <v>0.08</v>
      </c>
      <c r="L7" s="65" t="s">
        <v>83</v>
      </c>
      <c r="M7" s="62"/>
      <c r="N7" s="160"/>
      <c r="O7" s="160"/>
      <c r="P7" s="160"/>
      <c r="Q7" s="160"/>
      <c r="S7" s="69">
        <f>(1-J7)*链接表!$B$14</f>
        <v>4741208</v>
      </c>
      <c r="T7" s="69">
        <f>(1-K7)*链接表!$B$13</f>
        <v>119403028</v>
      </c>
    </row>
    <row r="8" spans="1:20" s="34" customFormat="1" ht="50.4" customHeight="1">
      <c r="A8" s="45">
        <v>4</v>
      </c>
      <c r="B8" s="63" t="str">
        <f>IF(链接表!B38="","",链接表!B38)</f>
        <v>广东省004某某工程股份有限公司</v>
      </c>
      <c r="C8" s="62" t="s">
        <v>79</v>
      </c>
      <c r="D8" s="64" t="s">
        <v>80</v>
      </c>
      <c r="E8" s="65" t="s">
        <v>81</v>
      </c>
      <c r="F8" s="62" t="s">
        <v>82</v>
      </c>
      <c r="G8" s="62">
        <v>50</v>
      </c>
      <c r="H8" s="66">
        <v>210</v>
      </c>
      <c r="I8" s="62" t="s">
        <v>379</v>
      </c>
      <c r="J8" s="156">
        <v>0.09</v>
      </c>
      <c r="K8" s="156">
        <v>0.09</v>
      </c>
      <c r="L8" s="65" t="s">
        <v>83</v>
      </c>
      <c r="M8" s="62"/>
      <c r="N8" s="160"/>
      <c r="O8" s="160"/>
      <c r="P8" s="160"/>
      <c r="Q8" s="160"/>
      <c r="S8" s="69">
        <f>(1-J8)*链接表!$B$14</f>
        <v>4847752</v>
      </c>
      <c r="T8" s="69">
        <f>(1-K8)*链接表!$B$13</f>
        <v>118105169</v>
      </c>
    </row>
    <row r="9" spans="1:20" ht="50.4" customHeight="1">
      <c r="A9" s="45">
        <v>5</v>
      </c>
      <c r="B9" s="63" t="str">
        <f>IF(链接表!B39="","",链接表!B39)</f>
        <v>广东省005某某工程股份有限公司</v>
      </c>
      <c r="C9" s="62" t="s">
        <v>79</v>
      </c>
      <c r="D9" s="64" t="s">
        <v>80</v>
      </c>
      <c r="E9" s="65" t="s">
        <v>81</v>
      </c>
      <c r="F9" s="62" t="s">
        <v>82</v>
      </c>
      <c r="G9" s="62">
        <v>50</v>
      </c>
      <c r="H9" s="66">
        <v>210</v>
      </c>
      <c r="I9" s="62" t="s">
        <v>380</v>
      </c>
      <c r="J9" s="156">
        <v>0.08</v>
      </c>
      <c r="K9" s="156">
        <v>0.1</v>
      </c>
      <c r="L9" s="65" t="s">
        <v>83</v>
      </c>
      <c r="M9" s="62"/>
      <c r="N9" s="160"/>
      <c r="O9" s="160"/>
      <c r="P9" s="160"/>
      <c r="Q9" s="160"/>
      <c r="S9" s="69">
        <f>(1-J9)*链接表!$B$14</f>
        <v>4901024</v>
      </c>
      <c r="T9" s="69">
        <f>(1-K9)*链接表!$B$13</f>
        <v>116807310</v>
      </c>
    </row>
    <row r="10" spans="1:20" ht="50.4" customHeight="1">
      <c r="A10" s="45">
        <v>6</v>
      </c>
      <c r="B10" s="63" t="str">
        <f>IF(链接表!B40="","",链接表!B40)</f>
        <v>广东省006某某工程股份有限公司</v>
      </c>
      <c r="C10" s="62" t="s">
        <v>79</v>
      </c>
      <c r="D10" s="64" t="s">
        <v>80</v>
      </c>
      <c r="E10" s="65" t="s">
        <v>81</v>
      </c>
      <c r="F10" s="62" t="s">
        <v>84</v>
      </c>
      <c r="G10" s="62">
        <v>50</v>
      </c>
      <c r="H10" s="66">
        <v>210</v>
      </c>
      <c r="I10" s="62" t="s">
        <v>381</v>
      </c>
      <c r="J10" s="156">
        <v>0.11</v>
      </c>
      <c r="K10" s="156">
        <v>0.11</v>
      </c>
      <c r="L10" s="65" t="s">
        <v>83</v>
      </c>
      <c r="M10" s="62"/>
      <c r="N10" s="160"/>
      <c r="O10" s="160"/>
      <c r="P10" s="160"/>
      <c r="Q10" s="160"/>
      <c r="S10" s="69">
        <f>(1-J10)*链接表!$B$14</f>
        <v>4741208</v>
      </c>
      <c r="T10" s="69">
        <f>(1-K10)*链接表!$B$13</f>
        <v>115509451</v>
      </c>
    </row>
  </sheetData>
  <mergeCells count="5">
    <mergeCell ref="A1:M1"/>
    <mergeCell ref="J2:M2"/>
    <mergeCell ref="J3:M3"/>
    <mergeCell ref="A2:I2"/>
    <mergeCell ref="A3:I3"/>
  </mergeCells>
  <phoneticPr fontId="110" type="noConversion"/>
  <conditionalFormatting sqref="D5:D10">
    <cfRule type="cellIs" dxfId="8" priority="1" stopIfTrue="1" operator="greaterThan">
      <formula>#REF!</formula>
    </cfRule>
    <cfRule type="cellIs" dxfId="7" priority="2" stopIfTrue="1" operator="lessThan">
      <formula>#REF!</formula>
    </cfRule>
  </conditionalFormatting>
  <printOptions horizontalCentered="1"/>
  <pageMargins left="0.35433070866141736" right="0.35433070866141736" top="0.59055118110236227" bottom="1.2598425196850394" header="0.31496062992125984" footer="0.47244094488188981"/>
  <pageSetup paperSize="9" scale="98" orientation="landscape" r:id="rId1"/>
  <headerFooter scaleWithDoc="0" alignWithMargins="0">
    <oddFooter>&amp;L投标文件密封情况检查签名：
招标人代表:         招标代理代表:&amp;C
监督员:           唱价员:&amp;R
记录员:         交易中心:</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14"/>
  <sheetViews>
    <sheetView view="pageBreakPreview" topLeftCell="A10" zoomScale="85" zoomScaleNormal="100" zoomScaleSheetLayoutView="85" workbookViewId="0">
      <selection activeCell="D10" sqref="D10"/>
    </sheetView>
  </sheetViews>
  <sheetFormatPr defaultColWidth="9" defaultRowHeight="15.75"/>
  <cols>
    <col min="1" max="1" width="5.296875" style="44" customWidth="1"/>
    <col min="2" max="2" width="36.5" customWidth="1"/>
    <col min="3" max="3" width="5" customWidth="1"/>
    <col min="4" max="4" width="41.19921875" customWidth="1"/>
    <col min="257" max="257" width="4.8984375" customWidth="1"/>
    <col min="258" max="258" width="36.5" customWidth="1"/>
    <col min="259" max="259" width="5" customWidth="1"/>
    <col min="260" max="260" width="41.19921875" customWidth="1"/>
    <col min="513" max="513" width="4.8984375" customWidth="1"/>
    <col min="514" max="514" width="36.5" customWidth="1"/>
    <col min="515" max="515" width="5" customWidth="1"/>
    <col min="516" max="516" width="41.19921875" customWidth="1"/>
    <col min="769" max="769" width="4.8984375" customWidth="1"/>
    <col min="770" max="770" width="36.5" customWidth="1"/>
    <col min="771" max="771" width="5" customWidth="1"/>
    <col min="772" max="772" width="41.19921875" customWidth="1"/>
    <col min="1025" max="1025" width="4.8984375" customWidth="1"/>
    <col min="1026" max="1026" width="36.5" customWidth="1"/>
    <col min="1027" max="1027" width="5" customWidth="1"/>
    <col min="1028" max="1028" width="41.19921875" customWidth="1"/>
    <col min="1281" max="1281" width="4.8984375" customWidth="1"/>
    <col min="1282" max="1282" width="36.5" customWidth="1"/>
    <col min="1283" max="1283" width="5" customWidth="1"/>
    <col min="1284" max="1284" width="41.19921875" customWidth="1"/>
    <col min="1537" max="1537" width="4.8984375" customWidth="1"/>
    <col min="1538" max="1538" width="36.5" customWidth="1"/>
    <col min="1539" max="1539" width="5" customWidth="1"/>
    <col min="1540" max="1540" width="41.19921875" customWidth="1"/>
    <col min="1793" max="1793" width="4.8984375" customWidth="1"/>
    <col min="1794" max="1794" width="36.5" customWidth="1"/>
    <col min="1795" max="1795" width="5" customWidth="1"/>
    <col min="1796" max="1796" width="41.19921875" customWidth="1"/>
    <col min="2049" max="2049" width="4.8984375" customWidth="1"/>
    <col min="2050" max="2050" width="36.5" customWidth="1"/>
    <col min="2051" max="2051" width="5" customWidth="1"/>
    <col min="2052" max="2052" width="41.19921875" customWidth="1"/>
    <col min="2305" max="2305" width="4.8984375" customWidth="1"/>
    <col min="2306" max="2306" width="36.5" customWidth="1"/>
    <col min="2307" max="2307" width="5" customWidth="1"/>
    <col min="2308" max="2308" width="41.19921875" customWidth="1"/>
    <col min="2561" max="2561" width="4.8984375" customWidth="1"/>
    <col min="2562" max="2562" width="36.5" customWidth="1"/>
    <col min="2563" max="2563" width="5" customWidth="1"/>
    <col min="2564" max="2564" width="41.19921875" customWidth="1"/>
    <col min="2817" max="2817" width="4.8984375" customWidth="1"/>
    <col min="2818" max="2818" width="36.5" customWidth="1"/>
    <col min="2819" max="2819" width="5" customWidth="1"/>
    <col min="2820" max="2820" width="41.19921875" customWidth="1"/>
    <col min="3073" max="3073" width="4.8984375" customWidth="1"/>
    <col min="3074" max="3074" width="36.5" customWidth="1"/>
    <col min="3075" max="3075" width="5" customWidth="1"/>
    <col min="3076" max="3076" width="41.19921875" customWidth="1"/>
    <col min="3329" max="3329" width="4.8984375" customWidth="1"/>
    <col min="3330" max="3330" width="36.5" customWidth="1"/>
    <col min="3331" max="3331" width="5" customWidth="1"/>
    <col min="3332" max="3332" width="41.19921875" customWidth="1"/>
    <col min="3585" max="3585" width="4.8984375" customWidth="1"/>
    <col min="3586" max="3586" width="36.5" customWidth="1"/>
    <col min="3587" max="3587" width="5" customWidth="1"/>
    <col min="3588" max="3588" width="41.19921875" customWidth="1"/>
    <col min="3841" max="3841" width="4.8984375" customWidth="1"/>
    <col min="3842" max="3842" width="36.5" customWidth="1"/>
    <col min="3843" max="3843" width="5" customWidth="1"/>
    <col min="3844" max="3844" width="41.19921875" customWidth="1"/>
    <col min="4097" max="4097" width="4.8984375" customWidth="1"/>
    <col min="4098" max="4098" width="36.5" customWidth="1"/>
    <col min="4099" max="4099" width="5" customWidth="1"/>
    <col min="4100" max="4100" width="41.19921875" customWidth="1"/>
    <col min="4353" max="4353" width="4.8984375" customWidth="1"/>
    <col min="4354" max="4354" width="36.5" customWidth="1"/>
    <col min="4355" max="4355" width="5" customWidth="1"/>
    <col min="4356" max="4356" width="41.19921875" customWidth="1"/>
    <col min="4609" max="4609" width="4.8984375" customWidth="1"/>
    <col min="4610" max="4610" width="36.5" customWidth="1"/>
    <col min="4611" max="4611" width="5" customWidth="1"/>
    <col min="4612" max="4612" width="41.19921875" customWidth="1"/>
    <col min="4865" max="4865" width="4.8984375" customWidth="1"/>
    <col min="4866" max="4866" width="36.5" customWidth="1"/>
    <col min="4867" max="4867" width="5" customWidth="1"/>
    <col min="4868" max="4868" width="41.19921875" customWidth="1"/>
    <col min="5121" max="5121" width="4.8984375" customWidth="1"/>
    <col min="5122" max="5122" width="36.5" customWidth="1"/>
    <col min="5123" max="5123" width="5" customWidth="1"/>
    <col min="5124" max="5124" width="41.19921875" customWidth="1"/>
    <col min="5377" max="5377" width="4.8984375" customWidth="1"/>
    <col min="5378" max="5378" width="36.5" customWidth="1"/>
    <col min="5379" max="5379" width="5" customWidth="1"/>
    <col min="5380" max="5380" width="41.19921875" customWidth="1"/>
    <col min="5633" max="5633" width="4.8984375" customWidth="1"/>
    <col min="5634" max="5634" width="36.5" customWidth="1"/>
    <col min="5635" max="5635" width="5" customWidth="1"/>
    <col min="5636" max="5636" width="41.19921875" customWidth="1"/>
    <col min="5889" max="5889" width="4.8984375" customWidth="1"/>
    <col min="5890" max="5890" width="36.5" customWidth="1"/>
    <col min="5891" max="5891" width="5" customWidth="1"/>
    <col min="5892" max="5892" width="41.19921875" customWidth="1"/>
    <col min="6145" max="6145" width="4.8984375" customWidth="1"/>
    <col min="6146" max="6146" width="36.5" customWidth="1"/>
    <col min="6147" max="6147" width="5" customWidth="1"/>
    <col min="6148" max="6148" width="41.19921875" customWidth="1"/>
    <col min="6401" max="6401" width="4.8984375" customWidth="1"/>
    <col min="6402" max="6402" width="36.5" customWidth="1"/>
    <col min="6403" max="6403" width="5" customWidth="1"/>
    <col min="6404" max="6404" width="41.19921875" customWidth="1"/>
    <col min="6657" max="6657" width="4.8984375" customWidth="1"/>
    <col min="6658" max="6658" width="36.5" customWidth="1"/>
    <col min="6659" max="6659" width="5" customWidth="1"/>
    <col min="6660" max="6660" width="41.19921875" customWidth="1"/>
    <col min="6913" max="6913" width="4.8984375" customWidth="1"/>
    <col min="6914" max="6914" width="36.5" customWidth="1"/>
    <col min="6915" max="6915" width="5" customWidth="1"/>
    <col min="6916" max="6916" width="41.19921875" customWidth="1"/>
    <col min="7169" max="7169" width="4.8984375" customWidth="1"/>
    <col min="7170" max="7170" width="36.5" customWidth="1"/>
    <col min="7171" max="7171" width="5" customWidth="1"/>
    <col min="7172" max="7172" width="41.19921875" customWidth="1"/>
    <col min="7425" max="7425" width="4.8984375" customWidth="1"/>
    <col min="7426" max="7426" width="36.5" customWidth="1"/>
    <col min="7427" max="7427" width="5" customWidth="1"/>
    <col min="7428" max="7428" width="41.19921875" customWidth="1"/>
    <col min="7681" max="7681" width="4.8984375" customWidth="1"/>
    <col min="7682" max="7682" width="36.5" customWidth="1"/>
    <col min="7683" max="7683" width="5" customWidth="1"/>
    <col min="7684" max="7684" width="41.19921875" customWidth="1"/>
    <col min="7937" max="7937" width="4.8984375" customWidth="1"/>
    <col min="7938" max="7938" width="36.5" customWidth="1"/>
    <col min="7939" max="7939" width="5" customWidth="1"/>
    <col min="7940" max="7940" width="41.19921875" customWidth="1"/>
    <col min="8193" max="8193" width="4.8984375" customWidth="1"/>
    <col min="8194" max="8194" width="36.5" customWidth="1"/>
    <col min="8195" max="8195" width="5" customWidth="1"/>
    <col min="8196" max="8196" width="41.19921875" customWidth="1"/>
    <col min="8449" max="8449" width="4.8984375" customWidth="1"/>
    <col min="8450" max="8450" width="36.5" customWidth="1"/>
    <col min="8451" max="8451" width="5" customWidth="1"/>
    <col min="8452" max="8452" width="41.19921875" customWidth="1"/>
    <col min="8705" max="8705" width="4.8984375" customWidth="1"/>
    <col min="8706" max="8706" width="36.5" customWidth="1"/>
    <col min="8707" max="8707" width="5" customWidth="1"/>
    <col min="8708" max="8708" width="41.19921875" customWidth="1"/>
    <col min="8961" max="8961" width="4.8984375" customWidth="1"/>
    <col min="8962" max="8962" width="36.5" customWidth="1"/>
    <col min="8963" max="8963" width="5" customWidth="1"/>
    <col min="8964" max="8964" width="41.19921875" customWidth="1"/>
    <col min="9217" max="9217" width="4.8984375" customWidth="1"/>
    <col min="9218" max="9218" width="36.5" customWidth="1"/>
    <col min="9219" max="9219" width="5" customWidth="1"/>
    <col min="9220" max="9220" width="41.19921875" customWidth="1"/>
    <col min="9473" max="9473" width="4.8984375" customWidth="1"/>
    <col min="9474" max="9474" width="36.5" customWidth="1"/>
    <col min="9475" max="9475" width="5" customWidth="1"/>
    <col min="9476" max="9476" width="41.19921875" customWidth="1"/>
    <col min="9729" max="9729" width="4.8984375" customWidth="1"/>
    <col min="9730" max="9730" width="36.5" customWidth="1"/>
    <col min="9731" max="9731" width="5" customWidth="1"/>
    <col min="9732" max="9732" width="41.19921875" customWidth="1"/>
    <col min="9985" max="9985" width="4.8984375" customWidth="1"/>
    <col min="9986" max="9986" width="36.5" customWidth="1"/>
    <col min="9987" max="9987" width="5" customWidth="1"/>
    <col min="9988" max="9988" width="41.19921875" customWidth="1"/>
    <col min="10241" max="10241" width="4.8984375" customWidth="1"/>
    <col min="10242" max="10242" width="36.5" customWidth="1"/>
    <col min="10243" max="10243" width="5" customWidth="1"/>
    <col min="10244" max="10244" width="41.19921875" customWidth="1"/>
    <col min="10497" max="10497" width="4.8984375" customWidth="1"/>
    <col min="10498" max="10498" width="36.5" customWidth="1"/>
    <col min="10499" max="10499" width="5" customWidth="1"/>
    <col min="10500" max="10500" width="41.19921875" customWidth="1"/>
    <col min="10753" max="10753" width="4.8984375" customWidth="1"/>
    <col min="10754" max="10754" width="36.5" customWidth="1"/>
    <col min="10755" max="10755" width="5" customWidth="1"/>
    <col min="10756" max="10756" width="41.19921875" customWidth="1"/>
    <col min="11009" max="11009" width="4.8984375" customWidth="1"/>
    <col min="11010" max="11010" width="36.5" customWidth="1"/>
    <col min="11011" max="11011" width="5" customWidth="1"/>
    <col min="11012" max="11012" width="41.19921875" customWidth="1"/>
    <col min="11265" max="11265" width="4.8984375" customWidth="1"/>
    <col min="11266" max="11266" width="36.5" customWidth="1"/>
    <col min="11267" max="11267" width="5" customWidth="1"/>
    <col min="11268" max="11268" width="41.19921875" customWidth="1"/>
    <col min="11521" max="11521" width="4.8984375" customWidth="1"/>
    <col min="11522" max="11522" width="36.5" customWidth="1"/>
    <col min="11523" max="11523" width="5" customWidth="1"/>
    <col min="11524" max="11524" width="41.19921875" customWidth="1"/>
    <col min="11777" max="11777" width="4.8984375" customWidth="1"/>
    <col min="11778" max="11778" width="36.5" customWidth="1"/>
    <col min="11779" max="11779" width="5" customWidth="1"/>
    <col min="11780" max="11780" width="41.19921875" customWidth="1"/>
    <col min="12033" max="12033" width="4.8984375" customWidth="1"/>
    <col min="12034" max="12034" width="36.5" customWidth="1"/>
    <col min="12035" max="12035" width="5" customWidth="1"/>
    <col min="12036" max="12036" width="41.19921875" customWidth="1"/>
    <col min="12289" max="12289" width="4.8984375" customWidth="1"/>
    <col min="12290" max="12290" width="36.5" customWidth="1"/>
    <col min="12291" max="12291" width="5" customWidth="1"/>
    <col min="12292" max="12292" width="41.19921875" customWidth="1"/>
    <col min="12545" max="12545" width="4.8984375" customWidth="1"/>
    <col min="12546" max="12546" width="36.5" customWidth="1"/>
    <col min="12547" max="12547" width="5" customWidth="1"/>
    <col min="12548" max="12548" width="41.19921875" customWidth="1"/>
    <col min="12801" max="12801" width="4.8984375" customWidth="1"/>
    <col min="12802" max="12802" width="36.5" customWidth="1"/>
    <col min="12803" max="12803" width="5" customWidth="1"/>
    <col min="12804" max="12804" width="41.19921875" customWidth="1"/>
    <col min="13057" max="13057" width="4.8984375" customWidth="1"/>
    <col min="13058" max="13058" width="36.5" customWidth="1"/>
    <col min="13059" max="13059" width="5" customWidth="1"/>
    <col min="13060" max="13060" width="41.19921875" customWidth="1"/>
    <col min="13313" max="13313" width="4.8984375" customWidth="1"/>
    <col min="13314" max="13314" width="36.5" customWidth="1"/>
    <col min="13315" max="13315" width="5" customWidth="1"/>
    <col min="13316" max="13316" width="41.19921875" customWidth="1"/>
    <col min="13569" max="13569" width="4.8984375" customWidth="1"/>
    <col min="13570" max="13570" width="36.5" customWidth="1"/>
    <col min="13571" max="13571" width="5" customWidth="1"/>
    <col min="13572" max="13572" width="41.19921875" customWidth="1"/>
    <col min="13825" max="13825" width="4.8984375" customWidth="1"/>
    <col min="13826" max="13826" width="36.5" customWidth="1"/>
    <col min="13827" max="13827" width="5" customWidth="1"/>
    <col min="13828" max="13828" width="41.19921875" customWidth="1"/>
    <col min="14081" max="14081" width="4.8984375" customWidth="1"/>
    <col min="14082" max="14082" width="36.5" customWidth="1"/>
    <col min="14083" max="14083" width="5" customWidth="1"/>
    <col min="14084" max="14084" width="41.19921875" customWidth="1"/>
    <col min="14337" max="14337" width="4.8984375" customWidth="1"/>
    <col min="14338" max="14338" width="36.5" customWidth="1"/>
    <col min="14339" max="14339" width="5" customWidth="1"/>
    <col min="14340" max="14340" width="41.19921875" customWidth="1"/>
    <col min="14593" max="14593" width="4.8984375" customWidth="1"/>
    <col min="14594" max="14594" width="36.5" customWidth="1"/>
    <col min="14595" max="14595" width="5" customWidth="1"/>
    <col min="14596" max="14596" width="41.19921875" customWidth="1"/>
    <col min="14849" max="14849" width="4.8984375" customWidth="1"/>
    <col min="14850" max="14850" width="36.5" customWidth="1"/>
    <col min="14851" max="14851" width="5" customWidth="1"/>
    <col min="14852" max="14852" width="41.19921875" customWidth="1"/>
    <col min="15105" max="15105" width="4.8984375" customWidth="1"/>
    <col min="15106" max="15106" width="36.5" customWidth="1"/>
    <col min="15107" max="15107" width="5" customWidth="1"/>
    <col min="15108" max="15108" width="41.19921875" customWidth="1"/>
    <col min="15361" max="15361" width="4.8984375" customWidth="1"/>
    <col min="15362" max="15362" width="36.5" customWidth="1"/>
    <col min="15363" max="15363" width="5" customWidth="1"/>
    <col min="15364" max="15364" width="41.19921875" customWidth="1"/>
    <col min="15617" max="15617" width="4.8984375" customWidth="1"/>
    <col min="15618" max="15618" width="36.5" customWidth="1"/>
    <col min="15619" max="15619" width="5" customWidth="1"/>
    <col min="15620" max="15620" width="41.19921875" customWidth="1"/>
    <col min="15873" max="15873" width="4.8984375" customWidth="1"/>
    <col min="15874" max="15874" width="36.5" customWidth="1"/>
    <col min="15875" max="15875" width="5" customWidth="1"/>
    <col min="15876" max="15876" width="41.19921875" customWidth="1"/>
    <col min="16129" max="16129" width="4.8984375" customWidth="1"/>
    <col min="16130" max="16130" width="36.5" customWidth="1"/>
    <col min="16131" max="16131" width="5" customWidth="1"/>
    <col min="16132" max="16132" width="41.19921875" customWidth="1"/>
  </cols>
  <sheetData>
    <row r="1" spans="1:6" ht="33.450000000000003" customHeight="1">
      <c r="A1" s="260" t="s">
        <v>88</v>
      </c>
      <c r="B1" s="260"/>
      <c r="C1" s="260"/>
      <c r="D1" s="260"/>
    </row>
    <row r="2" spans="1:6" ht="88.95" customHeight="1">
      <c r="A2" s="261" t="str">
        <f>链接表!B8&amp;"：
    本人收到在茂名市公共资源交易中心评标专家抽取系统的语音通知，并已确认参加 "&amp;链接表!B4&amp;" 招标的评标。本项目招标人为 "&amp;链接表!B5&amp;"，主管单位为 "&amp;链接表!B22&amp;"，由 "&amp;链接表!B6&amp;" 代理招标，投标人如下："</f>
        <v>信宜市公共资源交易中心：
    本人收到在茂名市公共资源交易中心评标专家抽取系统的语音通知，并已确认参加 信宜市绿道二期EPC项目 招标的评标。本项目招标人为 信宜市旅游投资发展有限公司，主管单位为 信宜市旅游局，由 深圳群伦项目管理有限公司 代理招标，投标人如下：</v>
      </c>
      <c r="B2" s="261"/>
      <c r="C2" s="261"/>
      <c r="D2" s="261"/>
    </row>
    <row r="3" spans="1:6" ht="14.7" customHeight="1">
      <c r="A3" s="261"/>
      <c r="B3" s="261"/>
      <c r="C3" s="261"/>
      <c r="D3" s="261"/>
    </row>
    <row r="4" spans="1:6" ht="29.05" customHeight="1">
      <c r="A4" s="39" t="s">
        <v>439</v>
      </c>
      <c r="B4" s="210" t="s">
        <v>89</v>
      </c>
      <c r="C4" s="39" t="s">
        <v>439</v>
      </c>
      <c r="D4" s="210" t="s">
        <v>89</v>
      </c>
    </row>
    <row r="5" spans="1:6" ht="39.35" customHeight="1">
      <c r="A5" s="58">
        <f>链接表!A35</f>
        <v>1</v>
      </c>
      <c r="B5" s="213" t="str">
        <f>IF(链接表!B35="","",链接表!B35)</f>
        <v>广东省001某某工程股份有限公司</v>
      </c>
      <c r="C5" s="58">
        <v>7</v>
      </c>
      <c r="D5" s="214" t="str">
        <f>IF(链接表!B41="","",链接表!B41)</f>
        <v/>
      </c>
    </row>
    <row r="6" spans="1:6" ht="39.35" customHeight="1">
      <c r="A6" s="58">
        <f>链接表!A36</f>
        <v>2</v>
      </c>
      <c r="B6" s="213" t="str">
        <f>IF(链接表!B36="","",链接表!B36)</f>
        <v>广东省002某某工程股份有限公司</v>
      </c>
      <c r="C6" s="58">
        <v>8</v>
      </c>
      <c r="D6" s="214" t="str">
        <f>IF(链接表!B42="","",链接表!B42)</f>
        <v/>
      </c>
    </row>
    <row r="7" spans="1:6" ht="39.35" customHeight="1">
      <c r="A7" s="58">
        <f>链接表!A37</f>
        <v>3</v>
      </c>
      <c r="B7" s="213" t="str">
        <f>IF(链接表!B37="","",链接表!B37)</f>
        <v>广东省003某某工程股份有限公司</v>
      </c>
      <c r="C7" s="58">
        <v>9</v>
      </c>
      <c r="D7" s="214" t="str">
        <f>IF(链接表!B43="","",链接表!B43)</f>
        <v/>
      </c>
    </row>
    <row r="8" spans="1:6" ht="39.35" customHeight="1">
      <c r="A8" s="58">
        <f>链接表!A38</f>
        <v>4</v>
      </c>
      <c r="B8" s="213" t="str">
        <f>IF(链接表!B38="","",链接表!B38)</f>
        <v>广东省004某某工程股份有限公司</v>
      </c>
      <c r="C8" s="58">
        <v>10</v>
      </c>
      <c r="D8" s="214" t="str">
        <f>IF(链接表!B44="","",链接表!B44)</f>
        <v/>
      </c>
    </row>
    <row r="9" spans="1:6" ht="39.35" customHeight="1">
      <c r="A9" s="58">
        <f>链接表!A39</f>
        <v>5</v>
      </c>
      <c r="B9" s="213" t="str">
        <f>IF(链接表!B39="","",链接表!B39)</f>
        <v>广东省005某某工程股份有限公司</v>
      </c>
      <c r="C9" s="58">
        <v>11</v>
      </c>
      <c r="D9" s="214" t="str">
        <f>IF(链接表!B45="","",链接表!B45)</f>
        <v/>
      </c>
    </row>
    <row r="10" spans="1:6" ht="39.35" customHeight="1">
      <c r="A10" s="58">
        <f>链接表!A40</f>
        <v>6</v>
      </c>
      <c r="B10" s="213" t="str">
        <f>IF(链接表!B40="","",链接表!B40)</f>
        <v>广东省006某某工程股份有限公司</v>
      </c>
      <c r="C10" s="58">
        <v>12</v>
      </c>
      <c r="D10" s="214" t="str">
        <f>IF(链接表!B46="","",链接表!B46)</f>
        <v/>
      </c>
    </row>
    <row r="11" spans="1:6" s="57" customFormat="1" ht="239.15" customHeight="1">
      <c r="A11" s="251" t="s">
        <v>90</v>
      </c>
      <c r="B11" s="252"/>
      <c r="C11" s="252"/>
      <c r="D11" s="253"/>
    </row>
    <row r="12" spans="1:6" s="57" customFormat="1" ht="65.349999999999994" customHeight="1">
      <c r="A12" s="254" t="s">
        <v>91</v>
      </c>
      <c r="B12" s="254"/>
      <c r="C12" s="254"/>
      <c r="D12" s="254"/>
    </row>
    <row r="13" spans="1:6" ht="106.5" customHeight="1">
      <c r="A13" s="255" t="str">
        <f>"注：本表需在评标之前由专家签名确认后方可开展评标工作。
       "&amp;链接表!B4&amp;"评标项目，经评标委员会选举一致通过，推举           专家为本次评标委员会的主任。
评标委员会成员签名："</f>
        <v>注：本表需在评标之前由专家签名确认后方可开展评标工作。
       信宜市绿道二期EPC项目评标项目，经评标委员会选举一致通过，推举           专家为本次评标委员会的主任。
评标委员会成员签名：</v>
      </c>
      <c r="B13" s="256"/>
      <c r="C13" s="256"/>
      <c r="D13" s="257"/>
    </row>
    <row r="14" spans="1:6">
      <c r="A14" s="258" t="str">
        <f>"地点："&amp;链接表!B8</f>
        <v>地点：信宜市公共资源交易中心</v>
      </c>
      <c r="B14" s="258"/>
      <c r="C14" s="259"/>
      <c r="D14" s="59" t="str">
        <f>TEXT(链接表!B7,"yyyy年m月d日")</f>
        <v>2018年8月8日</v>
      </c>
      <c r="E14" s="50"/>
      <c r="F14" s="50"/>
    </row>
  </sheetData>
  <mergeCells count="7">
    <mergeCell ref="A11:D11"/>
    <mergeCell ref="A12:D12"/>
    <mergeCell ref="A13:D13"/>
    <mergeCell ref="A14:C14"/>
    <mergeCell ref="A1:D1"/>
    <mergeCell ref="A2:D2"/>
    <mergeCell ref="A3:D3"/>
  </mergeCells>
  <phoneticPr fontId="110" type="noConversion"/>
  <printOptions horizontalCentered="1"/>
  <pageMargins left="0.39305555555555599" right="0.39305555555555599" top="0.59" bottom="0.22" header="0.47" footer="0.17"/>
  <pageSetup paperSize="9"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J22"/>
  <sheetViews>
    <sheetView view="pageBreakPreview" topLeftCell="A16" zoomScaleNormal="100" zoomScaleSheetLayoutView="100" workbookViewId="0">
      <selection activeCell="E6" sqref="E6"/>
    </sheetView>
  </sheetViews>
  <sheetFormatPr defaultColWidth="9" defaultRowHeight="15.75"/>
  <cols>
    <col min="1" max="1" width="6.09765625" style="18" customWidth="1"/>
    <col min="2" max="2" width="4.8984375" style="18" customWidth="1"/>
    <col min="3" max="3" width="3.59765625" style="18" customWidth="1"/>
    <col min="4" max="4" width="31" style="18" customWidth="1"/>
    <col min="5" max="5" width="63.5" style="18" customWidth="1"/>
    <col min="6" max="6" width="9.69921875" style="18" customWidth="1"/>
    <col min="7" max="7" width="9.59765625" style="18" customWidth="1"/>
    <col min="8" max="8" width="9.19921875" style="18" customWidth="1"/>
    <col min="9" max="16384" width="9" style="18"/>
  </cols>
  <sheetData>
    <row r="1" spans="1:10" ht="23.15" customHeight="1">
      <c r="B1" s="262" t="s">
        <v>92</v>
      </c>
      <c r="C1" s="262"/>
      <c r="D1" s="262"/>
      <c r="E1" s="262"/>
      <c r="F1" s="262"/>
      <c r="G1" s="262"/>
      <c r="H1" s="262"/>
      <c r="I1" s="49" t="s">
        <v>26</v>
      </c>
      <c r="J1" s="18">
        <v>6</v>
      </c>
    </row>
    <row r="2" spans="1:10" ht="18.8" customHeight="1">
      <c r="A2" s="227" t="s">
        <v>93</v>
      </c>
      <c r="B2" s="227"/>
      <c r="C2" s="227"/>
      <c r="D2" s="227" t="str">
        <f ca="1">OFFSET(链接表!B34,J1,0)</f>
        <v>广东省006某某工程股份有限公司</v>
      </c>
      <c r="E2" s="227"/>
      <c r="F2" s="50"/>
      <c r="G2" s="50"/>
      <c r="H2" s="50"/>
    </row>
    <row r="3" spans="1:10" ht="20.149999999999999" customHeight="1">
      <c r="A3" s="227" t="str">
        <f>链接表!A4&amp;链接表!B4</f>
        <v>项目名称：信宜市绿道二期EPC项目</v>
      </c>
      <c r="B3" s="227"/>
      <c r="C3" s="227"/>
      <c r="D3" s="227"/>
      <c r="E3" s="227"/>
      <c r="F3" s="263" t="str">
        <f>TEXT(链接表!B7,"yyyy年m月d日")</f>
        <v>2018年8月8日</v>
      </c>
      <c r="G3" s="264"/>
      <c r="H3" s="264"/>
      <c r="I3" s="49" t="s">
        <v>94</v>
      </c>
      <c r="J3" s="18">
        <v>1</v>
      </c>
    </row>
    <row r="4" spans="1:10" ht="31.5" customHeight="1">
      <c r="A4" s="52" t="s">
        <v>26</v>
      </c>
      <c r="B4" s="265" t="s">
        <v>95</v>
      </c>
      <c r="C4" s="265"/>
      <c r="D4" s="53" t="s">
        <v>96</v>
      </c>
      <c r="E4" s="53" t="s">
        <v>97</v>
      </c>
      <c r="F4" s="54" t="s">
        <v>98</v>
      </c>
      <c r="G4" s="54" t="s">
        <v>99</v>
      </c>
      <c r="H4" s="54" t="s">
        <v>35</v>
      </c>
      <c r="I4" s="49" t="s">
        <v>100</v>
      </c>
      <c r="J4" s="18">
        <f>COUNTA(链接表!B35:B54)</f>
        <v>6</v>
      </c>
    </row>
    <row r="5" spans="1:10" s="50" customFormat="1" ht="33.299999999999997" customHeight="1">
      <c r="A5" s="269" t="s">
        <v>101</v>
      </c>
      <c r="B5" s="272" t="s">
        <v>102</v>
      </c>
      <c r="C5" s="272"/>
      <c r="D5" s="112" t="s">
        <v>246</v>
      </c>
      <c r="E5" s="113" t="s">
        <v>252</v>
      </c>
      <c r="F5" s="55"/>
      <c r="G5" s="273"/>
      <c r="H5" s="273"/>
    </row>
    <row r="6" spans="1:10" ht="41.15" customHeight="1">
      <c r="A6" s="269"/>
      <c r="B6" s="272"/>
      <c r="C6" s="272"/>
      <c r="D6" s="112" t="s">
        <v>247</v>
      </c>
      <c r="E6" s="113" t="s">
        <v>253</v>
      </c>
      <c r="F6" s="55"/>
      <c r="G6" s="273"/>
      <c r="H6" s="273"/>
    </row>
    <row r="7" spans="1:10" s="50" customFormat="1" ht="33.299999999999997" customHeight="1">
      <c r="A7" s="269"/>
      <c r="B7" s="272"/>
      <c r="C7" s="272"/>
      <c r="D7" s="112" t="s">
        <v>248</v>
      </c>
      <c r="E7" s="113" t="s">
        <v>254</v>
      </c>
      <c r="F7" s="55"/>
      <c r="G7" s="273"/>
      <c r="H7" s="273"/>
    </row>
    <row r="8" spans="1:10" ht="33.299999999999997" customHeight="1">
      <c r="A8" s="269"/>
      <c r="B8" s="272"/>
      <c r="C8" s="272"/>
      <c r="D8" s="112" t="s">
        <v>249</v>
      </c>
      <c r="E8" s="113" t="s">
        <v>255</v>
      </c>
      <c r="F8" s="55"/>
      <c r="G8" s="273"/>
      <c r="H8" s="273"/>
    </row>
    <row r="9" spans="1:10" ht="33.299999999999997" customHeight="1">
      <c r="A9" s="269"/>
      <c r="B9" s="272"/>
      <c r="C9" s="272"/>
      <c r="D9" s="112" t="s">
        <v>250</v>
      </c>
      <c r="E9" s="113" t="s">
        <v>256</v>
      </c>
      <c r="F9" s="55"/>
      <c r="G9" s="273"/>
      <c r="H9" s="273"/>
    </row>
    <row r="10" spans="1:10" s="50" customFormat="1" ht="33.299999999999997" customHeight="1">
      <c r="A10" s="269"/>
      <c r="B10" s="272"/>
      <c r="C10" s="272"/>
      <c r="D10" s="112" t="s">
        <v>251</v>
      </c>
      <c r="E10" s="113" t="s">
        <v>257</v>
      </c>
      <c r="F10" s="55"/>
      <c r="G10" s="273"/>
      <c r="H10" s="273"/>
    </row>
    <row r="11" spans="1:10" s="50" customFormat="1" ht="33.299999999999997" customHeight="1">
      <c r="A11" s="270" t="s">
        <v>103</v>
      </c>
      <c r="B11" s="274" t="s">
        <v>273</v>
      </c>
      <c r="C11" s="275"/>
      <c r="D11" s="112" t="s">
        <v>258</v>
      </c>
      <c r="E11" s="113" t="s">
        <v>263</v>
      </c>
      <c r="F11" s="55"/>
      <c r="G11" s="273"/>
      <c r="H11" s="273"/>
    </row>
    <row r="12" spans="1:10" s="50" customFormat="1" ht="33.299999999999997" customHeight="1">
      <c r="A12" s="271"/>
      <c r="B12" s="276"/>
      <c r="C12" s="277"/>
      <c r="D12" s="114" t="s">
        <v>259</v>
      </c>
      <c r="E12" s="113" t="s">
        <v>264</v>
      </c>
      <c r="F12" s="55"/>
      <c r="G12" s="273"/>
      <c r="H12" s="273"/>
    </row>
    <row r="13" spans="1:10" s="50" customFormat="1" ht="33.299999999999997" customHeight="1">
      <c r="A13" s="271"/>
      <c r="B13" s="276"/>
      <c r="C13" s="277"/>
      <c r="D13" s="112" t="s">
        <v>260</v>
      </c>
      <c r="E13" s="113" t="s">
        <v>265</v>
      </c>
      <c r="F13" s="55"/>
      <c r="G13" s="273"/>
      <c r="H13" s="273"/>
    </row>
    <row r="14" spans="1:10" s="50" customFormat="1" ht="33.299999999999997" customHeight="1">
      <c r="A14" s="271"/>
      <c r="B14" s="276"/>
      <c r="C14" s="277"/>
      <c r="D14" s="112" t="s">
        <v>261</v>
      </c>
      <c r="E14" s="113" t="s">
        <v>266</v>
      </c>
      <c r="F14" s="55"/>
      <c r="G14" s="273"/>
      <c r="H14" s="273"/>
    </row>
    <row r="15" spans="1:10" s="50" customFormat="1" ht="33.299999999999997" customHeight="1">
      <c r="A15" s="271"/>
      <c r="B15" s="276"/>
      <c r="C15" s="277"/>
      <c r="D15" s="112" t="s">
        <v>262</v>
      </c>
      <c r="E15" s="113" t="s">
        <v>267</v>
      </c>
      <c r="F15" s="55"/>
      <c r="G15" s="273"/>
      <c r="H15" s="273"/>
    </row>
    <row r="16" spans="1:10" s="51" customFormat="1" ht="33.299999999999997" customHeight="1">
      <c r="A16" s="272" t="s">
        <v>104</v>
      </c>
      <c r="B16" s="278" t="s">
        <v>272</v>
      </c>
      <c r="C16" s="272"/>
      <c r="D16" s="54" t="s">
        <v>105</v>
      </c>
      <c r="E16" s="113" t="s">
        <v>268</v>
      </c>
      <c r="F16" s="56"/>
      <c r="G16" s="273"/>
      <c r="H16" s="273"/>
    </row>
    <row r="17" spans="1:8" s="51" customFormat="1" ht="33.299999999999997" customHeight="1">
      <c r="A17" s="272"/>
      <c r="B17" s="272"/>
      <c r="C17" s="272"/>
      <c r="D17" s="54" t="s">
        <v>106</v>
      </c>
      <c r="E17" s="113" t="s">
        <v>269</v>
      </c>
      <c r="F17" s="56"/>
      <c r="G17" s="273"/>
      <c r="H17" s="273"/>
    </row>
    <row r="18" spans="1:8" s="51" customFormat="1" ht="33.299999999999997" customHeight="1">
      <c r="A18" s="272"/>
      <c r="B18" s="272"/>
      <c r="C18" s="272"/>
      <c r="D18" s="54" t="s">
        <v>107</v>
      </c>
      <c r="E18" s="113" t="s">
        <v>270</v>
      </c>
      <c r="F18" s="56"/>
      <c r="G18" s="273"/>
      <c r="H18" s="273"/>
    </row>
    <row r="19" spans="1:8" s="51" customFormat="1" ht="33.299999999999997" customHeight="1">
      <c r="A19" s="272"/>
      <c r="B19" s="272"/>
      <c r="C19" s="272"/>
      <c r="D19" s="54" t="s">
        <v>108</v>
      </c>
      <c r="E19" s="113" t="s">
        <v>271</v>
      </c>
      <c r="F19" s="56"/>
      <c r="G19" s="273"/>
      <c r="H19" s="273"/>
    </row>
    <row r="20" spans="1:8" ht="21.95" customHeight="1">
      <c r="A20" s="266" t="s">
        <v>109</v>
      </c>
      <c r="B20" s="267"/>
      <c r="C20" s="267"/>
      <c r="D20" s="267"/>
      <c r="E20" s="267"/>
      <c r="F20" s="268"/>
      <c r="G20" s="268"/>
      <c r="H20" s="268"/>
    </row>
    <row r="21" spans="1:8" ht="27.7" customHeight="1">
      <c r="A21" s="228" t="s">
        <v>110</v>
      </c>
      <c r="B21" s="228"/>
      <c r="C21" s="228"/>
      <c r="D21" s="228"/>
      <c r="E21" s="228"/>
      <c r="F21" s="228"/>
      <c r="G21" s="228"/>
      <c r="H21" s="228"/>
    </row>
    <row r="22" spans="1:8" ht="23.15" customHeight="1">
      <c r="A22" s="227" t="s">
        <v>111</v>
      </c>
      <c r="B22" s="227"/>
      <c r="C22" s="227"/>
      <c r="D22" s="227"/>
      <c r="E22" s="227"/>
      <c r="F22" s="227"/>
      <c r="G22" s="227"/>
      <c r="H22" s="227"/>
    </row>
  </sheetData>
  <mergeCells count="17">
    <mergeCell ref="B4:C4"/>
    <mergeCell ref="A20:H20"/>
    <mergeCell ref="A21:H21"/>
    <mergeCell ref="A22:H22"/>
    <mergeCell ref="A5:A10"/>
    <mergeCell ref="A11:A15"/>
    <mergeCell ref="A16:A19"/>
    <mergeCell ref="G5:G19"/>
    <mergeCell ref="H5:H19"/>
    <mergeCell ref="B5:C10"/>
    <mergeCell ref="B11:C15"/>
    <mergeCell ref="B16:C19"/>
    <mergeCell ref="B1:H1"/>
    <mergeCell ref="A2:C2"/>
    <mergeCell ref="D2:E2"/>
    <mergeCell ref="A3:E3"/>
    <mergeCell ref="F3:H3"/>
  </mergeCells>
  <phoneticPr fontId="110" type="noConversion"/>
  <printOptions horizontalCentered="1"/>
  <pageMargins left="0.56874999999999998" right="0.55000000000000004" top="0.30902777777777801" bottom="0.28888888888888897" header="0.3" footer="0.25902777777777802"/>
  <pageSetup paperSize="9" scale="87" orientation="landscape" r:id="rId1"/>
  <headerFooter scaleWithDoc="0" alignWithMargins="0"/>
  <drawing r:id="rId2"/>
  <legacyDrawing r:id="rId3"/>
  <controls>
    <mc:AlternateContent xmlns:mc="http://schemas.openxmlformats.org/markup-compatibility/2006">
      <mc:Choice Requires="x14">
        <control shapeId="8195" r:id="rId4" name="CommandButton1">
          <controlPr defaultSize="0" altText="" r:id="rId5">
            <anchor moveWithCells="1">
              <from>
                <xdr:col>10</xdr:col>
                <xdr:colOff>461042</xdr:colOff>
                <xdr:row>1</xdr:row>
                <xdr:rowOff>153681</xdr:rowOff>
              </from>
              <to>
                <xdr:col>12</xdr:col>
                <xdr:colOff>69156</xdr:colOff>
                <xdr:row>3</xdr:row>
                <xdr:rowOff>53788</xdr:rowOff>
              </to>
            </anchor>
          </controlPr>
        </control>
      </mc:Choice>
      <mc:Fallback>
        <control shapeId="8195" r:id="rId4" name="CommandButton1"/>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pageSetUpPr fitToPage="1"/>
  </sheetPr>
  <dimension ref="A1:H16"/>
  <sheetViews>
    <sheetView view="pageBreakPreview" topLeftCell="A10" zoomScaleNormal="100" zoomScaleSheetLayoutView="100" workbookViewId="0">
      <selection activeCell="D6" sqref="D6"/>
    </sheetView>
  </sheetViews>
  <sheetFormatPr defaultRowHeight="15.75"/>
  <cols>
    <col min="1" max="1" width="5.59765625" style="127" customWidth="1"/>
    <col min="2" max="2" width="11.796875" style="128" customWidth="1"/>
    <col min="3" max="3" width="7.3984375" style="128" customWidth="1"/>
    <col min="4" max="4" width="86.8984375" style="129" customWidth="1"/>
    <col min="5" max="5" width="13.796875" style="47" customWidth="1"/>
    <col min="6" max="16384" width="8.796875" style="47"/>
  </cols>
  <sheetData>
    <row r="1" spans="1:8" ht="38.9" customHeight="1">
      <c r="A1" s="282" t="s">
        <v>275</v>
      </c>
      <c r="B1" s="282"/>
      <c r="C1" s="282"/>
      <c r="D1" s="282"/>
      <c r="E1" s="282"/>
      <c r="F1" s="116"/>
      <c r="G1" s="116" t="s">
        <v>276</v>
      </c>
      <c r="H1" s="117">
        <v>1</v>
      </c>
    </row>
    <row r="2" spans="1:8" ht="25.75" customHeight="1">
      <c r="A2" s="118" t="s">
        <v>277</v>
      </c>
      <c r="B2" s="211"/>
      <c r="C2" s="285" t="str">
        <f ca="1">OFFSET(链接表!B34,H1,0)</f>
        <v>广东省001某某工程股份有限公司</v>
      </c>
      <c r="D2" s="285"/>
      <c r="E2" s="211"/>
      <c r="F2" s="117"/>
      <c r="G2" s="117"/>
      <c r="H2" s="117"/>
    </row>
    <row r="3" spans="1:8" ht="25.75" customHeight="1">
      <c r="A3" s="283" t="str">
        <f>链接表!A5&amp;链接表!B5</f>
        <v>招标人：信宜市旅游投资发展有限公司</v>
      </c>
      <c r="B3" s="283"/>
      <c r="C3" s="283"/>
      <c r="D3" s="283"/>
      <c r="E3" s="283"/>
      <c r="F3" s="116"/>
      <c r="G3" s="116" t="s">
        <v>278</v>
      </c>
      <c r="H3" s="117">
        <v>1</v>
      </c>
    </row>
    <row r="4" spans="1:8" ht="25.75" customHeight="1">
      <c r="A4" s="284" t="str">
        <f>链接表!A4&amp;链接表!B4</f>
        <v>项目名称：信宜市绿道二期EPC项目</v>
      </c>
      <c r="B4" s="284"/>
      <c r="C4" s="284"/>
      <c r="D4" s="284"/>
      <c r="E4" s="284"/>
      <c r="F4" s="116"/>
      <c r="G4" s="116" t="s">
        <v>279</v>
      </c>
      <c r="H4" s="117">
        <f>COUNTA(链接表!B35:B54)</f>
        <v>6</v>
      </c>
    </row>
    <row r="5" spans="1:8" ht="26.2" customHeight="1">
      <c r="A5" s="120" t="s">
        <v>285</v>
      </c>
      <c r="B5" s="120" t="s">
        <v>286</v>
      </c>
      <c r="C5" s="120" t="s">
        <v>287</v>
      </c>
      <c r="D5" s="130" t="s">
        <v>280</v>
      </c>
      <c r="E5" s="120" t="s">
        <v>281</v>
      </c>
      <c r="F5" s="119"/>
      <c r="G5" s="119"/>
    </row>
    <row r="6" spans="1:8" ht="173.05" customHeight="1">
      <c r="A6" s="132">
        <v>1</v>
      </c>
      <c r="B6" s="131" t="s">
        <v>288</v>
      </c>
      <c r="C6" s="131" t="s">
        <v>289</v>
      </c>
      <c r="D6" s="121" t="s">
        <v>297</v>
      </c>
      <c r="E6" s="122"/>
    </row>
    <row r="7" spans="1:8" ht="93.2" customHeight="1">
      <c r="A7" s="206">
        <v>2</v>
      </c>
      <c r="B7" s="206" t="s">
        <v>292</v>
      </c>
      <c r="C7" s="206" t="s">
        <v>293</v>
      </c>
      <c r="D7" s="121" t="s">
        <v>291</v>
      </c>
      <c r="E7" s="122"/>
    </row>
    <row r="8" spans="1:8" ht="173.05" customHeight="1">
      <c r="A8" s="132">
        <v>3</v>
      </c>
      <c r="B8" s="131" t="s">
        <v>294</v>
      </c>
      <c r="C8" s="131" t="s">
        <v>289</v>
      </c>
      <c r="D8" s="121" t="s">
        <v>298</v>
      </c>
      <c r="E8" s="122"/>
    </row>
    <row r="9" spans="1:8" ht="101.65" customHeight="1">
      <c r="A9" s="132">
        <v>4</v>
      </c>
      <c r="B9" s="131" t="s">
        <v>295</v>
      </c>
      <c r="C9" s="131" t="s">
        <v>290</v>
      </c>
      <c r="D9" s="121" t="s">
        <v>296</v>
      </c>
      <c r="E9" s="122"/>
    </row>
    <row r="10" spans="1:8" ht="76.25" customHeight="1">
      <c r="A10" s="132">
        <v>5</v>
      </c>
      <c r="B10" s="131" t="s">
        <v>299</v>
      </c>
      <c r="C10" s="131" t="s">
        <v>300</v>
      </c>
      <c r="D10" s="121" t="s">
        <v>301</v>
      </c>
      <c r="E10" s="122"/>
    </row>
    <row r="11" spans="1:8" ht="156.69999999999999" customHeight="1">
      <c r="A11" s="132">
        <v>6</v>
      </c>
      <c r="B11" s="131" t="s">
        <v>302</v>
      </c>
      <c r="C11" s="131" t="s">
        <v>303</v>
      </c>
      <c r="D11" s="121" t="s">
        <v>307</v>
      </c>
      <c r="E11" s="122"/>
    </row>
    <row r="12" spans="1:8" ht="79.900000000000006" customHeight="1">
      <c r="A12" s="132">
        <v>7</v>
      </c>
      <c r="B12" s="131" t="s">
        <v>304</v>
      </c>
      <c r="C12" s="131" t="s">
        <v>300</v>
      </c>
      <c r="D12" s="121" t="s">
        <v>305</v>
      </c>
      <c r="E12" s="122"/>
    </row>
    <row r="13" spans="1:8" ht="57.5" customHeight="1">
      <c r="A13" s="279" t="s">
        <v>282</v>
      </c>
      <c r="B13" s="280"/>
      <c r="C13" s="280"/>
      <c r="D13" s="281"/>
      <c r="E13" s="122" t="s">
        <v>283</v>
      </c>
    </row>
    <row r="14" spans="1:8" ht="23.15" customHeight="1">
      <c r="A14" s="123" t="s">
        <v>306</v>
      </c>
      <c r="B14" s="124"/>
      <c r="C14" s="124"/>
      <c r="D14" s="126"/>
      <c r="E14" s="125"/>
    </row>
    <row r="15" spans="1:8" ht="23.15" customHeight="1">
      <c r="A15" s="123"/>
      <c r="B15" s="124"/>
      <c r="C15" s="124"/>
      <c r="D15" s="126"/>
      <c r="E15" s="125"/>
    </row>
    <row r="16" spans="1:8" ht="23.15" customHeight="1">
      <c r="A16" s="123" t="s">
        <v>284</v>
      </c>
      <c r="B16" s="124"/>
      <c r="C16" s="124"/>
      <c r="D16" s="126"/>
      <c r="E16" s="125"/>
    </row>
  </sheetData>
  <mergeCells count="5">
    <mergeCell ref="A13:D13"/>
    <mergeCell ref="A1:E1"/>
    <mergeCell ref="A3:E3"/>
    <mergeCell ref="A4:E4"/>
    <mergeCell ref="C2:D2"/>
  </mergeCells>
  <phoneticPr fontId="110" type="noConversion"/>
  <printOptions horizontalCentered="1"/>
  <pageMargins left="0.47244094488188981" right="0.47244094488188981" top="0.47244094488188981" bottom="0.47244094488188981" header="0.31496062992125984" footer="0.31496062992125984"/>
  <pageSetup paperSize="9" scale="65" orientation="portrait" r:id="rId1"/>
  <drawing r:id="rId2"/>
  <legacyDrawing r:id="rId3"/>
  <controls>
    <mc:AlternateContent xmlns:mc="http://schemas.openxmlformats.org/markup-compatibility/2006">
      <mc:Choice Requires="x14">
        <control shapeId="60417" r:id="rId4" name="CommandButton1">
          <controlPr defaultSize="0" autoLine="0" r:id="rId5">
            <anchor moveWithCells="1">
              <from>
                <xdr:col>8</xdr:col>
                <xdr:colOff>576303</xdr:colOff>
                <xdr:row>1</xdr:row>
                <xdr:rowOff>207469</xdr:rowOff>
              </from>
              <to>
                <xdr:col>10</xdr:col>
                <xdr:colOff>215153</xdr:colOff>
                <xdr:row>2</xdr:row>
                <xdr:rowOff>253573</xdr:rowOff>
              </to>
            </anchor>
          </controlPr>
        </control>
      </mc:Choice>
      <mc:Fallback>
        <control shapeId="60417" r:id="rId4" name="CommandButton1"/>
      </mc:Fallback>
    </mc:AlternateContent>
  </control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pageSetUpPr fitToPage="1"/>
  </sheetPr>
  <dimension ref="A1:G14"/>
  <sheetViews>
    <sheetView zoomScaleNormal="100" zoomScaleSheetLayoutView="85" workbookViewId="0">
      <selection activeCell="C7" sqref="C7:G7"/>
    </sheetView>
  </sheetViews>
  <sheetFormatPr defaultColWidth="9" defaultRowHeight="15.75"/>
  <cols>
    <col min="1" max="1" width="5" style="47" customWidth="1"/>
    <col min="2" max="2" width="41.8984375" style="47" customWidth="1"/>
    <col min="3" max="3" width="10.19921875" style="47" customWidth="1"/>
    <col min="4" max="4" width="12.3984375" style="183" customWidth="1"/>
    <col min="5" max="5" width="23.19921875" style="47" customWidth="1"/>
    <col min="6" max="6" width="17.09765625" style="182" customWidth="1"/>
    <col min="7" max="7" width="19.296875" style="47" customWidth="1"/>
    <col min="8" max="8" width="12.5" style="47" customWidth="1"/>
    <col min="9" max="9" width="9" style="47"/>
    <col min="10" max="10" width="17" style="47" customWidth="1"/>
    <col min="11" max="12" width="9" style="47"/>
    <col min="13" max="13" width="17.8984375" style="47" customWidth="1"/>
    <col min="14" max="16384" width="9" style="47"/>
  </cols>
  <sheetData>
    <row r="1" spans="1:7" ht="29.95" customHeight="1">
      <c r="A1" s="287" t="str">
        <f>链接表!B4&amp;"商务评分汇总表"</f>
        <v>信宜市绿道二期EPC项目商务评分汇总表</v>
      </c>
      <c r="B1" s="287"/>
      <c r="C1" s="287"/>
      <c r="D1" s="288"/>
      <c r="E1" s="287"/>
      <c r="F1" s="289"/>
    </row>
    <row r="2" spans="1:7" ht="21.95" customHeight="1">
      <c r="A2" s="290" t="str">
        <f>链接表!A5&amp;链接表!B5</f>
        <v>招标人：信宜市旅游投资发展有限公司</v>
      </c>
      <c r="B2" s="290"/>
      <c r="C2" s="290"/>
      <c r="D2" s="147"/>
      <c r="E2" s="148"/>
      <c r="F2" s="47"/>
    </row>
    <row r="3" spans="1:7" ht="21.95" customHeight="1">
      <c r="A3" s="290" t="str">
        <f>链接表!A6&amp;链接表!B6</f>
        <v>招标代理：深圳群伦项目管理有限公司</v>
      </c>
      <c r="B3" s="290"/>
      <c r="C3" s="290"/>
      <c r="D3" s="149"/>
      <c r="E3" s="150"/>
      <c r="F3" s="47"/>
    </row>
    <row r="4" spans="1:7" s="170" customFormat="1" ht="62.2" customHeight="1">
      <c r="A4" s="167" t="s">
        <v>26</v>
      </c>
      <c r="B4" s="167" t="s">
        <v>27</v>
      </c>
      <c r="C4" s="296" t="s">
        <v>447</v>
      </c>
      <c r="D4" s="297"/>
      <c r="E4" s="297"/>
      <c r="F4" s="297"/>
      <c r="G4" s="298"/>
    </row>
    <row r="5" spans="1:7" s="173" customFormat="1" ht="35.700000000000003" customHeight="1">
      <c r="A5" s="167">
        <v>1</v>
      </c>
      <c r="B5" s="171" t="str">
        <f>算术平均值!B5</f>
        <v>广东省001某某工程股份有限公司</v>
      </c>
      <c r="C5" s="286">
        <v>20.5</v>
      </c>
      <c r="D5" s="286"/>
      <c r="E5" s="286"/>
      <c r="F5" s="286"/>
      <c r="G5" s="286"/>
    </row>
    <row r="6" spans="1:7" s="173" customFormat="1" ht="35.700000000000003" customHeight="1">
      <c r="A6" s="167">
        <v>2</v>
      </c>
      <c r="B6" s="171" t="str">
        <f>算术平均值!B6</f>
        <v>广东省002某某工程股份有限公司</v>
      </c>
      <c r="C6" s="286">
        <v>30.5</v>
      </c>
      <c r="D6" s="286"/>
      <c r="E6" s="286"/>
      <c r="F6" s="286"/>
      <c r="G6" s="286"/>
    </row>
    <row r="7" spans="1:7" s="173" customFormat="1" ht="35.700000000000003" customHeight="1">
      <c r="A7" s="167">
        <v>3</v>
      </c>
      <c r="B7" s="171" t="str">
        <f>算术平均值!B7</f>
        <v>广东省003某某工程股份有限公司</v>
      </c>
      <c r="C7" s="286">
        <v>10.5</v>
      </c>
      <c r="D7" s="286"/>
      <c r="E7" s="286"/>
      <c r="F7" s="286"/>
      <c r="G7" s="286"/>
    </row>
    <row r="8" spans="1:7" s="173" customFormat="1" ht="35.700000000000003" customHeight="1">
      <c r="A8" s="167">
        <v>4</v>
      </c>
      <c r="B8" s="171" t="str">
        <f>算术平均值!B8</f>
        <v>广东省004某某工程股份有限公司</v>
      </c>
      <c r="C8" s="286">
        <v>5.5</v>
      </c>
      <c r="D8" s="286"/>
      <c r="E8" s="286"/>
      <c r="F8" s="286"/>
      <c r="G8" s="286"/>
    </row>
    <row r="9" spans="1:7" s="173" customFormat="1" ht="35.700000000000003" customHeight="1">
      <c r="A9" s="167">
        <v>5</v>
      </c>
      <c r="B9" s="171" t="str">
        <f>算术平均值!B9</f>
        <v>广东省005某某工程股份有限公司</v>
      </c>
      <c r="C9" s="286">
        <v>10</v>
      </c>
      <c r="D9" s="286"/>
      <c r="E9" s="286"/>
      <c r="F9" s="286"/>
      <c r="G9" s="286"/>
    </row>
    <row r="10" spans="1:7" s="173" customFormat="1" ht="35.700000000000003" customHeight="1">
      <c r="A10" s="167">
        <v>6</v>
      </c>
      <c r="B10" s="171" t="str">
        <f>算术平均值!B10</f>
        <v>广东省006某某工程股份有限公司</v>
      </c>
      <c r="C10" s="286">
        <v>11</v>
      </c>
      <c r="D10" s="286"/>
      <c r="E10" s="286"/>
      <c r="F10" s="286"/>
      <c r="G10" s="286"/>
    </row>
    <row r="11" spans="1:7" s="180" customFormat="1" ht="20.3" customHeight="1">
      <c r="A11" s="174"/>
      <c r="B11" s="175"/>
      <c r="C11" s="176"/>
      <c r="D11" s="177"/>
      <c r="E11" s="178"/>
      <c r="F11" s="179"/>
    </row>
    <row r="12" spans="1:7" ht="18" customHeight="1">
      <c r="A12" s="291" t="s">
        <v>387</v>
      </c>
      <c r="B12" s="291"/>
      <c r="C12" s="291"/>
      <c r="D12" s="292"/>
      <c r="E12" s="291"/>
      <c r="F12" s="293"/>
    </row>
    <row r="13" spans="1:7" ht="16.5" customHeight="1">
      <c r="A13" s="166"/>
      <c r="B13" s="166"/>
      <c r="C13" s="166"/>
      <c r="D13" s="181"/>
    </row>
    <row r="14" spans="1:7" ht="18" customHeight="1">
      <c r="A14" s="294" t="s">
        <v>115</v>
      </c>
      <c r="B14" s="294"/>
      <c r="C14" s="294"/>
      <c r="D14" s="295"/>
    </row>
  </sheetData>
  <mergeCells count="12">
    <mergeCell ref="A12:F12"/>
    <mergeCell ref="A14:D14"/>
    <mergeCell ref="C4:G4"/>
    <mergeCell ref="C5:G5"/>
    <mergeCell ref="C6:G6"/>
    <mergeCell ref="C7:G7"/>
    <mergeCell ref="C8:G8"/>
    <mergeCell ref="C9:G9"/>
    <mergeCell ref="C10:G10"/>
    <mergeCell ref="A1:F1"/>
    <mergeCell ref="A2:C2"/>
    <mergeCell ref="A3:C3"/>
  </mergeCells>
  <phoneticPr fontId="110" type="noConversion"/>
  <printOptions horizontalCentered="1"/>
  <pageMargins left="0.39305555555555599" right="0.39305555555555599" top="1.18055555555556" bottom="0.78680555555555598" header="1.1013888888888901" footer="0.51180555555555596"/>
  <pageSetup scale="94" orientation="landscape" horizontalDpi="200" verticalDpi="200" r:id="rId1"/>
  <headerFooter scaleWithDoc="0"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H12"/>
  <sheetViews>
    <sheetView view="pageBreakPreview" zoomScale="85" zoomScaleNormal="100" zoomScaleSheetLayoutView="85" workbookViewId="0">
      <selection activeCell="H6" sqref="H6"/>
    </sheetView>
  </sheetViews>
  <sheetFormatPr defaultColWidth="9" defaultRowHeight="15.75"/>
  <cols>
    <col min="1" max="1" width="15.8984375" style="47" bestFit="1" customWidth="1"/>
    <col min="2" max="2" width="39.8984375" style="47" customWidth="1"/>
    <col min="3" max="7" width="12.8984375" style="47" customWidth="1"/>
    <col min="8" max="8" width="13" style="47" customWidth="1"/>
    <col min="9" max="16384" width="9" style="47"/>
  </cols>
  <sheetData>
    <row r="1" spans="1:8" ht="47.95" customHeight="1">
      <c r="A1" s="302" t="str">
        <f>链接表!B4&amp;CHAR(10)&amp;
"技术投标文件符合性审查表"</f>
        <v>信宜市绿道二期EPC项目
技术投标文件符合性审查表</v>
      </c>
      <c r="B1" s="302"/>
      <c r="C1" s="302"/>
      <c r="D1" s="302"/>
      <c r="E1" s="302"/>
      <c r="F1" s="302"/>
      <c r="G1" s="302"/>
      <c r="H1" s="302"/>
    </row>
    <row r="2" spans="1:8" ht="21.95" customHeight="1">
      <c r="A2" s="303" t="str">
        <f>链接表!A5&amp;链接表!B5</f>
        <v>招标人：信宜市旅游投资发展有限公司</v>
      </c>
      <c r="B2" s="304"/>
      <c r="C2" s="304"/>
      <c r="D2" s="304"/>
      <c r="E2" s="304"/>
      <c r="F2" s="145"/>
      <c r="G2" s="145"/>
      <c r="H2" s="133"/>
    </row>
    <row r="3" spans="1:8" ht="21.95" customHeight="1">
      <c r="A3" s="303" t="str">
        <f>链接表!A6&amp;链接表!B6</f>
        <v>招标代理：深圳群伦项目管理有限公司</v>
      </c>
      <c r="B3" s="304"/>
      <c r="C3" s="304"/>
      <c r="D3" s="304"/>
      <c r="E3" s="304"/>
      <c r="F3" s="145"/>
      <c r="G3" s="145"/>
      <c r="H3" s="134"/>
    </row>
    <row r="4" spans="1:8" ht="21.05" customHeight="1">
      <c r="A4" s="305" t="s">
        <v>26</v>
      </c>
      <c r="B4" s="305" t="s">
        <v>308</v>
      </c>
      <c r="C4" s="307" t="s">
        <v>112</v>
      </c>
      <c r="D4" s="307"/>
      <c r="E4" s="307"/>
      <c r="F4" s="307"/>
      <c r="G4" s="307"/>
      <c r="H4" s="307"/>
    </row>
    <row r="5" spans="1:8" ht="21.95" customHeight="1">
      <c r="A5" s="306"/>
      <c r="B5" s="306"/>
      <c r="C5" s="135" t="s">
        <v>309</v>
      </c>
      <c r="D5" s="135" t="s">
        <v>310</v>
      </c>
      <c r="E5" s="135" t="s">
        <v>311</v>
      </c>
      <c r="F5" s="135" t="s">
        <v>312</v>
      </c>
      <c r="G5" s="135" t="s">
        <v>334</v>
      </c>
      <c r="H5" s="135" t="s">
        <v>335</v>
      </c>
    </row>
    <row r="6" spans="1:8" ht="104.1" customHeight="1">
      <c r="A6" s="136">
        <v>1</v>
      </c>
      <c r="B6" s="137" t="s">
        <v>313</v>
      </c>
      <c r="C6" s="135"/>
      <c r="D6" s="135"/>
      <c r="E6" s="135"/>
      <c r="F6" s="135"/>
      <c r="G6" s="135"/>
      <c r="H6" s="135"/>
    </row>
    <row r="7" spans="1:8" ht="27.25" customHeight="1">
      <c r="A7" s="299" t="s">
        <v>314</v>
      </c>
      <c r="B7" s="300"/>
      <c r="C7" s="138"/>
      <c r="D7" s="138"/>
      <c r="E7" s="138"/>
      <c r="F7" s="138"/>
      <c r="G7" s="138"/>
      <c r="H7" s="138"/>
    </row>
    <row r="8" spans="1:8" ht="24.05" customHeight="1">
      <c r="A8" s="301" t="s">
        <v>315</v>
      </c>
      <c r="B8" s="301"/>
      <c r="C8" s="301"/>
      <c r="D8" s="301"/>
      <c r="E8" s="301"/>
      <c r="F8" s="301"/>
      <c r="G8" s="301"/>
      <c r="H8" s="301"/>
    </row>
    <row r="9" spans="1:8" ht="16.350000000000001" customHeight="1">
      <c r="A9" s="139"/>
      <c r="B9" s="140"/>
      <c r="C9" s="140"/>
      <c r="D9" s="140"/>
      <c r="E9" s="140"/>
      <c r="F9" s="140"/>
      <c r="G9" s="140"/>
      <c r="H9" s="140"/>
    </row>
    <row r="10" spans="1:8" ht="16.350000000000001" customHeight="1">
      <c r="A10" s="128" t="s">
        <v>316</v>
      </c>
      <c r="B10" s="128"/>
      <c r="C10" s="128"/>
      <c r="D10" s="128"/>
      <c r="E10" s="128"/>
      <c r="F10" s="128"/>
      <c r="G10" s="128"/>
      <c r="H10" s="128"/>
    </row>
    <row r="11" spans="1:8" ht="16.350000000000001" customHeight="1">
      <c r="A11" s="128"/>
      <c r="B11" s="128"/>
      <c r="C11" s="128"/>
      <c r="D11" s="128"/>
      <c r="E11" s="128"/>
      <c r="F11" s="128"/>
      <c r="G11" s="128"/>
      <c r="H11" s="128"/>
    </row>
    <row r="12" spans="1:8" ht="16.350000000000001" customHeight="1">
      <c r="A12" s="128" t="s">
        <v>114</v>
      </c>
      <c r="B12" s="128"/>
      <c r="C12" s="128"/>
      <c r="D12" s="128"/>
      <c r="E12" s="128"/>
      <c r="F12" s="128"/>
      <c r="G12" s="128"/>
      <c r="H12" s="128"/>
    </row>
  </sheetData>
  <mergeCells count="8">
    <mergeCell ref="A7:B7"/>
    <mergeCell ref="A8:H8"/>
    <mergeCell ref="A1:H1"/>
    <mergeCell ref="A2:E2"/>
    <mergeCell ref="A3:E3"/>
    <mergeCell ref="A4:A5"/>
    <mergeCell ref="B4:B5"/>
    <mergeCell ref="C4:H4"/>
  </mergeCells>
  <phoneticPr fontId="110" type="noConversion"/>
  <printOptions horizontalCentered="1"/>
  <pageMargins left="0.16041666666666701" right="0.16041666666666701" top="0.40902777777777799" bottom="0.21249999999999999" header="0.51180555555555596" footer="0.196527777777778"/>
  <pageSetup paperSize="9" orientation="landscape"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9"/>
  <dimension ref="A1:J18"/>
  <sheetViews>
    <sheetView view="pageBreakPreview" topLeftCell="A13" zoomScale="85" zoomScaleNormal="100" zoomScaleSheetLayoutView="85" workbookViewId="0">
      <selection activeCell="G8" sqref="G8"/>
    </sheetView>
  </sheetViews>
  <sheetFormatPr defaultRowHeight="15.75"/>
  <cols>
    <col min="1" max="1" width="6.59765625" style="127" customWidth="1"/>
    <col min="2" max="2" width="8.59765625" style="128" customWidth="1"/>
    <col min="3" max="3" width="10.8984375" style="128" customWidth="1"/>
    <col min="4" max="4" width="9.3984375" style="127" bestFit="1" customWidth="1"/>
    <col min="5" max="5" width="9.3984375" style="47" bestFit="1" customWidth="1"/>
    <col min="6" max="6" width="113" style="129" customWidth="1"/>
    <col min="7" max="7" width="14.3984375" style="47" customWidth="1"/>
    <col min="8" max="16384" width="8.796875" style="47"/>
  </cols>
  <sheetData>
    <row r="1" spans="1:10" ht="28.45" customHeight="1">
      <c r="A1" s="282" t="s">
        <v>317</v>
      </c>
      <c r="B1" s="282"/>
      <c r="C1" s="282"/>
      <c r="D1" s="282"/>
      <c r="E1" s="282"/>
      <c r="F1" s="282"/>
      <c r="G1" s="282"/>
      <c r="H1" s="116"/>
      <c r="I1" s="116" t="s">
        <v>318</v>
      </c>
      <c r="J1" s="117">
        <v>1</v>
      </c>
    </row>
    <row r="2" spans="1:10" ht="25.75" customHeight="1">
      <c r="A2" s="283" t="s">
        <v>362</v>
      </c>
      <c r="B2" s="283"/>
      <c r="C2" s="310" t="str">
        <f ca="1">OFFSET(链接表!B34,J1,0)</f>
        <v>广东省001某某工程股份有限公司</v>
      </c>
      <c r="D2" s="310"/>
      <c r="E2" s="310"/>
      <c r="F2" s="310"/>
      <c r="G2" s="146"/>
      <c r="H2" s="117"/>
      <c r="I2" s="117"/>
      <c r="J2" s="117"/>
    </row>
    <row r="3" spans="1:10" ht="25.75" customHeight="1">
      <c r="A3" s="283" t="str">
        <f>链接表!A5&amp;链接表!B5</f>
        <v>招标人：信宜市旅游投资发展有限公司</v>
      </c>
      <c r="B3" s="283"/>
      <c r="C3" s="283"/>
      <c r="D3" s="283"/>
      <c r="E3" s="283"/>
      <c r="F3" s="283"/>
      <c r="G3" s="283"/>
      <c r="H3" s="116"/>
      <c r="I3" s="116" t="s">
        <v>319</v>
      </c>
      <c r="J3" s="117">
        <v>1</v>
      </c>
    </row>
    <row r="4" spans="1:10" ht="25.75" customHeight="1">
      <c r="A4" s="284" t="str">
        <f>链接表!A4&amp;链接表!B4</f>
        <v>项目名称：信宜市绿道二期EPC项目</v>
      </c>
      <c r="B4" s="284"/>
      <c r="C4" s="284"/>
      <c r="D4" s="284"/>
      <c r="E4" s="284"/>
      <c r="F4" s="284"/>
      <c r="G4" s="284"/>
      <c r="H4" s="116"/>
      <c r="I4" s="116" t="s">
        <v>320</v>
      </c>
      <c r="J4" s="117">
        <f>COUNTA(链接表!B35:B54)</f>
        <v>6</v>
      </c>
    </row>
    <row r="5" spans="1:10" ht="20.75" customHeight="1">
      <c r="A5" s="308" t="s">
        <v>348</v>
      </c>
      <c r="B5" s="308" t="s">
        <v>321</v>
      </c>
      <c r="C5" s="308"/>
      <c r="D5" s="308" t="s">
        <v>322</v>
      </c>
      <c r="E5" s="308"/>
      <c r="F5" s="309" t="s">
        <v>323</v>
      </c>
      <c r="G5" s="308" t="s">
        <v>324</v>
      </c>
      <c r="H5" s="119"/>
      <c r="I5" s="119"/>
    </row>
    <row r="6" spans="1:10" ht="21.8" customHeight="1">
      <c r="A6" s="308"/>
      <c r="B6" s="120" t="s">
        <v>349</v>
      </c>
      <c r="C6" s="120" t="s">
        <v>325</v>
      </c>
      <c r="D6" s="308"/>
      <c r="E6" s="308"/>
      <c r="F6" s="309"/>
      <c r="G6" s="308"/>
      <c r="H6" s="117"/>
      <c r="I6" s="117"/>
    </row>
    <row r="7" spans="1:10" ht="63.1" customHeight="1">
      <c r="A7" s="313">
        <v>1</v>
      </c>
      <c r="B7" s="316" t="s">
        <v>350</v>
      </c>
      <c r="C7" s="141" t="s">
        <v>339</v>
      </c>
      <c r="D7" s="309" t="s">
        <v>342</v>
      </c>
      <c r="E7" s="309"/>
      <c r="F7" s="121" t="s">
        <v>352</v>
      </c>
      <c r="G7" s="122"/>
    </row>
    <row r="8" spans="1:10" ht="63.1" customHeight="1">
      <c r="A8" s="314"/>
      <c r="B8" s="317"/>
      <c r="C8" s="141" t="s">
        <v>340</v>
      </c>
      <c r="D8" s="309" t="s">
        <v>336</v>
      </c>
      <c r="E8" s="309"/>
      <c r="F8" s="121" t="s">
        <v>353</v>
      </c>
      <c r="G8" s="122"/>
    </row>
    <row r="9" spans="1:10" ht="63.1" customHeight="1">
      <c r="A9" s="314"/>
      <c r="B9" s="317"/>
      <c r="C9" s="141" t="s">
        <v>340</v>
      </c>
      <c r="D9" s="309" t="s">
        <v>343</v>
      </c>
      <c r="E9" s="309"/>
      <c r="F9" s="121" t="s">
        <v>354</v>
      </c>
      <c r="G9" s="122"/>
    </row>
    <row r="10" spans="1:10" ht="63.1" customHeight="1">
      <c r="A10" s="314"/>
      <c r="B10" s="317"/>
      <c r="C10" s="141" t="s">
        <v>340</v>
      </c>
      <c r="D10" s="309" t="s">
        <v>344</v>
      </c>
      <c r="E10" s="309"/>
      <c r="F10" s="121" t="s">
        <v>355</v>
      </c>
      <c r="G10" s="122"/>
    </row>
    <row r="11" spans="1:10" ht="63.1" customHeight="1">
      <c r="A11" s="314"/>
      <c r="B11" s="317"/>
      <c r="C11" s="141" t="s">
        <v>340</v>
      </c>
      <c r="D11" s="309" t="s">
        <v>345</v>
      </c>
      <c r="E11" s="309"/>
      <c r="F11" s="121" t="s">
        <v>356</v>
      </c>
      <c r="G11" s="122"/>
    </row>
    <row r="12" spans="1:10" ht="63.1" customHeight="1">
      <c r="A12" s="314"/>
      <c r="B12" s="317"/>
      <c r="C12" s="141" t="s">
        <v>340</v>
      </c>
      <c r="D12" s="309" t="s">
        <v>346</v>
      </c>
      <c r="E12" s="309"/>
      <c r="F12" s="121" t="s">
        <v>357</v>
      </c>
      <c r="G12" s="122"/>
    </row>
    <row r="13" spans="1:10" ht="63.1" customHeight="1">
      <c r="A13" s="315"/>
      <c r="B13" s="318"/>
      <c r="C13" s="141" t="s">
        <v>339</v>
      </c>
      <c r="D13" s="309" t="s">
        <v>347</v>
      </c>
      <c r="E13" s="309"/>
      <c r="F13" s="121" t="s">
        <v>358</v>
      </c>
      <c r="G13" s="122"/>
    </row>
    <row r="14" spans="1:10" ht="63.1" customHeight="1">
      <c r="A14" s="313">
        <v>2</v>
      </c>
      <c r="B14" s="319" t="s">
        <v>351</v>
      </c>
      <c r="C14" s="141" t="s">
        <v>341</v>
      </c>
      <c r="D14" s="309" t="s">
        <v>337</v>
      </c>
      <c r="E14" s="309"/>
      <c r="F14" s="121" t="s">
        <v>359</v>
      </c>
      <c r="G14" s="122"/>
    </row>
    <row r="15" spans="1:10" ht="63.1" customHeight="1">
      <c r="A15" s="315"/>
      <c r="B15" s="320"/>
      <c r="C15" s="141" t="s">
        <v>341</v>
      </c>
      <c r="D15" s="309" t="s">
        <v>338</v>
      </c>
      <c r="E15" s="309"/>
      <c r="F15" s="121" t="s">
        <v>360</v>
      </c>
      <c r="G15" s="122"/>
    </row>
    <row r="16" spans="1:10" ht="46" customHeight="1">
      <c r="A16" s="312" t="s">
        <v>326</v>
      </c>
      <c r="B16" s="312"/>
      <c r="C16" s="312"/>
      <c r="D16" s="312"/>
      <c r="E16" s="312"/>
      <c r="F16" s="312"/>
      <c r="G16" s="122"/>
    </row>
    <row r="17" spans="1:8" ht="18.8" customHeight="1">
      <c r="A17" s="123"/>
      <c r="B17" s="124"/>
      <c r="C17" s="124"/>
      <c r="D17" s="123"/>
      <c r="E17" s="125"/>
      <c r="F17" s="126"/>
      <c r="G17" s="125"/>
    </row>
    <row r="18" spans="1:8" ht="21.2" customHeight="1">
      <c r="A18" s="311" t="s">
        <v>361</v>
      </c>
      <c r="B18" s="311"/>
      <c r="C18" s="311"/>
      <c r="D18" s="311"/>
      <c r="E18" s="311"/>
      <c r="F18" s="311"/>
      <c r="G18" s="311"/>
      <c r="H18" s="128"/>
    </row>
  </sheetData>
  <mergeCells count="25">
    <mergeCell ref="A18:G18"/>
    <mergeCell ref="A16:F16"/>
    <mergeCell ref="D7:E7"/>
    <mergeCell ref="D8:E8"/>
    <mergeCell ref="D9:E9"/>
    <mergeCell ref="D10:E10"/>
    <mergeCell ref="A7:A13"/>
    <mergeCell ref="A14:A15"/>
    <mergeCell ref="B7:B13"/>
    <mergeCell ref="B14:B15"/>
    <mergeCell ref="D11:E11"/>
    <mergeCell ref="D12:E12"/>
    <mergeCell ref="D13:E13"/>
    <mergeCell ref="D14:E14"/>
    <mergeCell ref="D15:E15"/>
    <mergeCell ref="A1:G1"/>
    <mergeCell ref="A3:G3"/>
    <mergeCell ref="A4:G4"/>
    <mergeCell ref="A5:A6"/>
    <mergeCell ref="B5:C5"/>
    <mergeCell ref="D5:E6"/>
    <mergeCell ref="F5:F6"/>
    <mergeCell ref="G5:G6"/>
    <mergeCell ref="C2:F2"/>
    <mergeCell ref="A2:B2"/>
  </mergeCells>
  <phoneticPr fontId="110" type="noConversion"/>
  <printOptions horizontalCentered="1"/>
  <pageMargins left="0.34" right="0.45" top="0.46" bottom="0.4" header="0.31496062992125984" footer="0.31496062992125984"/>
  <pageSetup paperSize="9" scale="71" orientation="landscape" r:id="rId1"/>
  <drawing r:id="rId2"/>
  <legacyDrawing r:id="rId3"/>
  <controls>
    <mc:AlternateContent xmlns:mc="http://schemas.openxmlformats.org/markup-compatibility/2006">
      <mc:Choice Requires="x14">
        <control shapeId="86017" r:id="rId4" name="CommandButton1">
          <controlPr defaultSize="0" autoLine="0" r:id="rId5">
            <anchor moveWithCells="1">
              <from>
                <xdr:col>10</xdr:col>
                <xdr:colOff>591671</xdr:colOff>
                <xdr:row>1</xdr:row>
                <xdr:rowOff>92208</xdr:rowOff>
              </from>
              <to>
                <xdr:col>12</xdr:col>
                <xdr:colOff>192101</xdr:colOff>
                <xdr:row>2</xdr:row>
                <xdr:rowOff>169049</xdr:rowOff>
              </to>
            </anchor>
          </controlPr>
        </control>
      </mc:Choice>
      <mc:Fallback>
        <control shapeId="86017" r:id="rId4" name="CommandButton1"/>
      </mc:Fallback>
    </mc:AlternateContent>
  </control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B050"/>
  </sheetPr>
  <dimension ref="A1:G16"/>
  <sheetViews>
    <sheetView zoomScaleNormal="100" zoomScaleSheetLayoutView="100" workbookViewId="0">
      <selection activeCell="G10" sqref="G10"/>
    </sheetView>
  </sheetViews>
  <sheetFormatPr defaultColWidth="9" defaultRowHeight="15.75"/>
  <cols>
    <col min="1" max="1" width="19.19921875" style="128" customWidth="1"/>
    <col min="2" max="6" width="13.8984375" style="128" customWidth="1"/>
    <col min="7" max="7" width="22.3984375" style="128" customWidth="1"/>
    <col min="8" max="16384" width="9" style="47"/>
  </cols>
  <sheetData>
    <row r="1" spans="1:7" ht="29.95" customHeight="1">
      <c r="A1" s="321" t="str">
        <f>链接表!B4&amp;"技术部分评分汇总表"</f>
        <v>信宜市绿道二期EPC项目技术部分评分汇总表</v>
      </c>
      <c r="B1" s="321"/>
      <c r="C1" s="321"/>
      <c r="D1" s="321"/>
      <c r="E1" s="321"/>
      <c r="F1" s="321"/>
      <c r="G1" s="321"/>
    </row>
    <row r="2" spans="1:7" ht="21.95" customHeight="1">
      <c r="A2" s="303" t="str">
        <f>链接表!A5&amp;链接表!B5</f>
        <v>招标人：信宜市旅游投资发展有限公司</v>
      </c>
      <c r="B2" s="304"/>
      <c r="C2" s="304"/>
      <c r="D2" s="304"/>
      <c r="E2" s="304"/>
      <c r="F2" s="322"/>
      <c r="G2" s="322"/>
    </row>
    <row r="3" spans="1:7" ht="21.95" customHeight="1">
      <c r="A3" s="303" t="str">
        <f>链接表!A6&amp;链接表!B6</f>
        <v>招标代理：深圳群伦项目管理有限公司</v>
      </c>
      <c r="B3" s="304"/>
      <c r="C3" s="304"/>
      <c r="D3" s="304"/>
      <c r="E3" s="304"/>
      <c r="F3" s="134"/>
      <c r="G3" s="134"/>
    </row>
    <row r="4" spans="1:7" ht="49.2" customHeight="1">
      <c r="A4" s="48" t="s">
        <v>327</v>
      </c>
      <c r="B4" s="142" t="s">
        <v>328</v>
      </c>
      <c r="C4" s="142" t="s">
        <v>329</v>
      </c>
      <c r="D4" s="142" t="s">
        <v>330</v>
      </c>
      <c r="E4" s="142" t="s">
        <v>331</v>
      </c>
      <c r="F4" s="142" t="s">
        <v>332</v>
      </c>
      <c r="G4" s="142" t="s">
        <v>333</v>
      </c>
    </row>
    <row r="5" spans="1:7" ht="24.05" customHeight="1">
      <c r="A5" s="48" t="s">
        <v>309</v>
      </c>
      <c r="B5" s="144">
        <v>1</v>
      </c>
      <c r="C5" s="144">
        <v>2</v>
      </c>
      <c r="D5" s="144">
        <v>1</v>
      </c>
      <c r="E5" s="144">
        <v>1</v>
      </c>
      <c r="F5" s="144">
        <v>1</v>
      </c>
      <c r="G5" s="143">
        <f>TRIMMEAN(B5:F5,0.4)</f>
        <v>1</v>
      </c>
    </row>
    <row r="6" spans="1:7" ht="24.05" customHeight="1">
      <c r="A6" s="48" t="s">
        <v>310</v>
      </c>
      <c r="B6" s="144">
        <v>1</v>
      </c>
      <c r="C6" s="144">
        <v>2</v>
      </c>
      <c r="D6" s="144">
        <v>3</v>
      </c>
      <c r="E6" s="144">
        <v>1</v>
      </c>
      <c r="F6" s="144">
        <v>1</v>
      </c>
      <c r="G6" s="143">
        <f>TRIMMEAN(B6:F6,0.4)</f>
        <v>1.33</v>
      </c>
    </row>
    <row r="7" spans="1:7" ht="24.05" customHeight="1">
      <c r="A7" s="48" t="s">
        <v>311</v>
      </c>
      <c r="B7" s="144">
        <v>1</v>
      </c>
      <c r="C7" s="144">
        <v>1</v>
      </c>
      <c r="D7" s="144">
        <v>3</v>
      </c>
      <c r="E7" s="144">
        <v>4</v>
      </c>
      <c r="F7" s="144">
        <v>1</v>
      </c>
      <c r="G7" s="143">
        <f>TRIMMEAN(B7:F7,0.4)</f>
        <v>1.67</v>
      </c>
    </row>
    <row r="8" spans="1:7" ht="24.05" customHeight="1">
      <c r="A8" s="48" t="s">
        <v>312</v>
      </c>
      <c r="B8" s="144">
        <v>1</v>
      </c>
      <c r="C8" s="144">
        <v>1</v>
      </c>
      <c r="D8" s="144">
        <v>1</v>
      </c>
      <c r="E8" s="144">
        <v>4</v>
      </c>
      <c r="F8" s="144">
        <v>5</v>
      </c>
      <c r="G8" s="143">
        <f>TRIMMEAN(B8:F8,0.4)</f>
        <v>2</v>
      </c>
    </row>
    <row r="9" spans="1:7" ht="24.05" customHeight="1">
      <c r="A9" s="48" t="s">
        <v>334</v>
      </c>
      <c r="B9" s="144">
        <v>1</v>
      </c>
      <c r="C9" s="144">
        <v>1</v>
      </c>
      <c r="D9" s="144">
        <v>5</v>
      </c>
      <c r="E9" s="144">
        <v>1</v>
      </c>
      <c r="F9" s="144">
        <v>5</v>
      </c>
      <c r="G9" s="143">
        <f t="shared" ref="G9:G10" si="0">TRIMMEAN(B9:F9,0.4)</f>
        <v>2.33</v>
      </c>
    </row>
    <row r="10" spans="1:7" ht="24.05" customHeight="1">
      <c r="A10" s="48" t="s">
        <v>335</v>
      </c>
      <c r="B10" s="144">
        <v>1</v>
      </c>
      <c r="C10" s="144">
        <v>1</v>
      </c>
      <c r="D10" s="144">
        <v>1</v>
      </c>
      <c r="E10" s="144">
        <v>3</v>
      </c>
      <c r="F10" s="144">
        <v>6</v>
      </c>
      <c r="G10" s="143">
        <f t="shared" si="0"/>
        <v>1.67</v>
      </c>
    </row>
    <row r="11" spans="1:7" ht="24.05" customHeight="1">
      <c r="A11" s="48"/>
      <c r="B11" s="144"/>
      <c r="C11" s="144"/>
      <c r="D11" s="144"/>
      <c r="E11" s="144"/>
      <c r="F11" s="144"/>
      <c r="G11" s="143"/>
    </row>
    <row r="12" spans="1:7" ht="39.049999999999997" customHeight="1">
      <c r="A12" s="323" t="s">
        <v>363</v>
      </c>
      <c r="B12" s="323"/>
      <c r="C12" s="323"/>
      <c r="D12" s="323"/>
      <c r="E12" s="323"/>
      <c r="F12" s="323"/>
      <c r="G12" s="323"/>
    </row>
    <row r="13" spans="1:7" ht="16.350000000000001" customHeight="1">
      <c r="A13" s="139"/>
      <c r="B13" s="140"/>
      <c r="C13" s="140"/>
      <c r="D13" s="140"/>
      <c r="E13" s="140"/>
      <c r="F13" s="140"/>
      <c r="G13" s="140"/>
    </row>
    <row r="14" spans="1:7" ht="16.350000000000001" customHeight="1">
      <c r="A14" s="128" t="s">
        <v>113</v>
      </c>
    </row>
    <row r="15" spans="1:7" ht="16.350000000000001" customHeight="1"/>
    <row r="16" spans="1:7" ht="16.350000000000001" customHeight="1">
      <c r="A16" s="128" t="s">
        <v>114</v>
      </c>
    </row>
  </sheetData>
  <mergeCells count="5">
    <mergeCell ref="A1:G1"/>
    <mergeCell ref="A2:E2"/>
    <mergeCell ref="F2:G2"/>
    <mergeCell ref="A3:E3"/>
    <mergeCell ref="A12:G12"/>
  </mergeCells>
  <phoneticPr fontId="110" type="noConversion"/>
  <printOptions horizontalCentered="1"/>
  <pageMargins left="0.39370078740157483" right="0.39370078740157483" top="0.39370078740157483" bottom="0.98425196850393704" header="0.31496062992125984" footer="0.27559055118110237"/>
  <pageSetup paperSize="9" orientation="landscape" r:id="rId1"/>
  <headerFooter scaleWithDoc="0"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16"/>
  <sheetViews>
    <sheetView zoomScaleNormal="100" zoomScaleSheetLayoutView="100" workbookViewId="0">
      <selection activeCell="D10" sqref="D10"/>
    </sheetView>
  </sheetViews>
  <sheetFormatPr defaultColWidth="9" defaultRowHeight="15.75"/>
  <cols>
    <col min="1" max="1" width="14.5" style="128" customWidth="1"/>
    <col min="2" max="2" width="13.69921875" style="128" bestFit="1" customWidth="1"/>
    <col min="3" max="3" width="72" style="128" customWidth="1"/>
    <col min="4" max="4" width="16.09765625" style="153" customWidth="1"/>
    <col min="5" max="5" width="11.19921875" style="128" customWidth="1"/>
    <col min="6" max="16384" width="9" style="47"/>
  </cols>
  <sheetData>
    <row r="1" spans="1:8" ht="42.05" customHeight="1">
      <c r="A1" s="324" t="str">
        <f>链接表!B4&amp;"技术投标文件编号对应表"</f>
        <v>信宜市绿道二期EPC项目技术投标文件编号对应表</v>
      </c>
      <c r="B1" s="324"/>
      <c r="C1" s="324"/>
      <c r="D1" s="325"/>
      <c r="E1" s="324"/>
    </row>
    <row r="2" spans="1:8" ht="21.95" customHeight="1">
      <c r="A2" s="290" t="str">
        <f>链接表!A5&amp;链接表!B5</f>
        <v>招标人：信宜市旅游投资发展有限公司</v>
      </c>
      <c r="B2" s="290"/>
      <c r="C2" s="290"/>
      <c r="D2" s="147"/>
      <c r="E2" s="148"/>
    </row>
    <row r="3" spans="1:8" ht="21.95" customHeight="1">
      <c r="A3" s="290" t="str">
        <f>链接表!A6&amp;链接表!B6</f>
        <v>招标代理：深圳群伦项目管理有限公司</v>
      </c>
      <c r="B3" s="290"/>
      <c r="C3" s="290"/>
      <c r="D3" s="149"/>
      <c r="E3" s="150"/>
    </row>
    <row r="4" spans="1:8" ht="49.2" customHeight="1">
      <c r="A4" s="48" t="s">
        <v>26</v>
      </c>
      <c r="B4" s="48" t="s">
        <v>327</v>
      </c>
      <c r="C4" s="142" t="s">
        <v>364</v>
      </c>
      <c r="D4" s="151" t="s">
        <v>365</v>
      </c>
      <c r="E4" s="142" t="s">
        <v>35</v>
      </c>
    </row>
    <row r="5" spans="1:8" ht="24.05" customHeight="1">
      <c r="A5" s="48">
        <v>1</v>
      </c>
      <c r="B5" s="48" t="s">
        <v>309</v>
      </c>
      <c r="C5" s="162" t="s">
        <v>433</v>
      </c>
      <c r="D5" s="152">
        <f>VLOOKUP(B5,技术部分评分汇总表!$A$5:$G$11,7,FALSE)</f>
        <v>1</v>
      </c>
      <c r="E5" s="48"/>
    </row>
    <row r="6" spans="1:8" ht="24.05" customHeight="1">
      <c r="A6" s="48">
        <v>2</v>
      </c>
      <c r="B6" s="48" t="s">
        <v>310</v>
      </c>
      <c r="C6" s="162" t="s">
        <v>434</v>
      </c>
      <c r="D6" s="152">
        <f>VLOOKUP(B6,技术部分评分汇总表!$A$5:$G$11,7,FALSE)</f>
        <v>1.33</v>
      </c>
      <c r="E6" s="48"/>
    </row>
    <row r="7" spans="1:8" ht="24.05" customHeight="1">
      <c r="A7" s="48">
        <v>3</v>
      </c>
      <c r="B7" s="48" t="s">
        <v>311</v>
      </c>
      <c r="C7" s="162" t="s">
        <v>435</v>
      </c>
      <c r="D7" s="152">
        <f>VLOOKUP(B7,技术部分评分汇总表!$A$5:$G$11,7,FALSE)</f>
        <v>1.67</v>
      </c>
      <c r="E7" s="48"/>
    </row>
    <row r="8" spans="1:8" ht="24.05" customHeight="1">
      <c r="A8" s="48">
        <v>4</v>
      </c>
      <c r="B8" s="48" t="s">
        <v>312</v>
      </c>
      <c r="C8" s="162" t="s">
        <v>436</v>
      </c>
      <c r="D8" s="152">
        <f>VLOOKUP(B8,技术部分评分汇总表!$A$5:$G$11,7,FALSE)</f>
        <v>2</v>
      </c>
      <c r="E8" s="48"/>
    </row>
    <row r="9" spans="1:8" ht="24.05" customHeight="1">
      <c r="A9" s="48">
        <v>5</v>
      </c>
      <c r="B9" s="48" t="s">
        <v>334</v>
      </c>
      <c r="C9" s="162" t="s">
        <v>437</v>
      </c>
      <c r="D9" s="152">
        <f>VLOOKUP(B9,技术部分评分汇总表!$A$5:$G$11,7,FALSE)</f>
        <v>2.33</v>
      </c>
      <c r="E9" s="48"/>
    </row>
    <row r="10" spans="1:8" ht="24.05" customHeight="1">
      <c r="A10" s="48">
        <v>6</v>
      </c>
      <c r="B10" s="48" t="s">
        <v>335</v>
      </c>
      <c r="C10" s="162" t="s">
        <v>438</v>
      </c>
      <c r="D10" s="152">
        <f>VLOOKUP(B10,技术部分评分汇总表!$A$5:$G$11,7,FALSE)</f>
        <v>1.67</v>
      </c>
      <c r="E10" s="48"/>
    </row>
    <row r="11" spans="1:8" ht="16.350000000000001" customHeight="1">
      <c r="A11" s="139"/>
      <c r="B11" s="140"/>
      <c r="C11" s="140"/>
      <c r="D11" s="140"/>
      <c r="E11" s="140"/>
      <c r="F11" s="140"/>
      <c r="G11" s="140"/>
      <c r="H11" s="140"/>
    </row>
    <row r="12" spans="1:8" ht="16.350000000000001" customHeight="1">
      <c r="A12" s="128" t="s">
        <v>113</v>
      </c>
      <c r="D12" s="128"/>
      <c r="F12" s="128"/>
      <c r="G12" s="128"/>
      <c r="H12" s="128"/>
    </row>
    <row r="13" spans="1:8" ht="16.350000000000001" customHeight="1">
      <c r="D13" s="128"/>
      <c r="F13" s="128"/>
      <c r="G13" s="128"/>
      <c r="H13" s="128"/>
    </row>
    <row r="14" spans="1:8" ht="16.350000000000001" customHeight="1">
      <c r="A14" s="128" t="s">
        <v>366</v>
      </c>
      <c r="D14" s="128"/>
      <c r="F14" s="128"/>
      <c r="G14" s="128"/>
      <c r="H14" s="128"/>
    </row>
    <row r="16" spans="1:8">
      <c r="A16" s="127" t="s">
        <v>367</v>
      </c>
    </row>
  </sheetData>
  <mergeCells count="3">
    <mergeCell ref="A1:E1"/>
    <mergeCell ref="A2:C2"/>
    <mergeCell ref="A3:C3"/>
  </mergeCells>
  <phoneticPr fontId="110" type="noConversion"/>
  <printOptions horizontalCentered="1"/>
  <pageMargins left="0.39370078740157483" right="0.39370078740157483" top="0.78740157480314965" bottom="0.55118110236220474" header="0.70866141732283472" footer="0.27559055118110237"/>
  <pageSetup paperSize="9" orientation="landscape" r:id="rId1"/>
  <headerFooter scaleWithDoc="0"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18"/>
  <sheetViews>
    <sheetView zoomScaleNormal="100" workbookViewId="0">
      <selection activeCell="C8" sqref="C8"/>
    </sheetView>
  </sheetViews>
  <sheetFormatPr defaultColWidth="9" defaultRowHeight="15.75"/>
  <cols>
    <col min="1" max="1" width="4.59765625" customWidth="1"/>
    <col min="2" max="2" width="36.69921875" style="44" customWidth="1"/>
    <col min="3" max="3" width="20.69921875" customWidth="1"/>
    <col min="4" max="4" width="15.69921875" customWidth="1"/>
    <col min="5" max="5" width="20.69921875" customWidth="1"/>
    <col min="6" max="7" width="15.69921875" customWidth="1"/>
    <col min="9" max="9" width="19.09765625" customWidth="1"/>
    <col min="10" max="10" width="18.3984375" bestFit="1" customWidth="1"/>
    <col min="11" max="11" width="23.3984375" customWidth="1"/>
    <col min="259" max="259" width="7.59765625" customWidth="1"/>
    <col min="260" max="260" width="36.69921875" customWidth="1"/>
    <col min="261" max="261" width="21.8984375" customWidth="1"/>
    <col min="262" max="262" width="19.8984375" customWidth="1"/>
    <col min="263" max="263" width="16.8984375" customWidth="1"/>
    <col min="265" max="265" width="19.09765625" customWidth="1"/>
    <col min="266" max="266" width="18.3984375" bestFit="1" customWidth="1"/>
    <col min="267" max="267" width="23.3984375" customWidth="1"/>
    <col min="515" max="515" width="7.59765625" customWidth="1"/>
    <col min="516" max="516" width="36.69921875" customWidth="1"/>
    <col min="517" max="517" width="21.8984375" customWidth="1"/>
    <col min="518" max="518" width="19.8984375" customWidth="1"/>
    <col min="519" max="519" width="16.8984375" customWidth="1"/>
    <col min="521" max="521" width="19.09765625" customWidth="1"/>
    <col min="522" max="522" width="18.3984375" bestFit="1" customWidth="1"/>
    <col min="523" max="523" width="23.3984375" customWidth="1"/>
    <col min="771" max="771" width="7.59765625" customWidth="1"/>
    <col min="772" max="772" width="36.69921875" customWidth="1"/>
    <col min="773" max="773" width="21.8984375" customWidth="1"/>
    <col min="774" max="774" width="19.8984375" customWidth="1"/>
    <col min="775" max="775" width="16.8984375" customWidth="1"/>
    <col min="777" max="777" width="19.09765625" customWidth="1"/>
    <col min="778" max="778" width="18.3984375" bestFit="1" customWidth="1"/>
    <col min="779" max="779" width="23.3984375" customWidth="1"/>
    <col min="1027" max="1027" width="7.59765625" customWidth="1"/>
    <col min="1028" max="1028" width="36.69921875" customWidth="1"/>
    <col min="1029" max="1029" width="21.8984375" customWidth="1"/>
    <col min="1030" max="1030" width="19.8984375" customWidth="1"/>
    <col min="1031" max="1031" width="16.8984375" customWidth="1"/>
    <col min="1033" max="1033" width="19.09765625" customWidth="1"/>
    <col min="1034" max="1034" width="18.3984375" bestFit="1" customWidth="1"/>
    <col min="1035" max="1035" width="23.3984375" customWidth="1"/>
    <col min="1283" max="1283" width="7.59765625" customWidth="1"/>
    <col min="1284" max="1284" width="36.69921875" customWidth="1"/>
    <col min="1285" max="1285" width="21.8984375" customWidth="1"/>
    <col min="1286" max="1286" width="19.8984375" customWidth="1"/>
    <col min="1287" max="1287" width="16.8984375" customWidth="1"/>
    <col min="1289" max="1289" width="19.09765625" customWidth="1"/>
    <col min="1290" max="1290" width="18.3984375" bestFit="1" customWidth="1"/>
    <col min="1291" max="1291" width="23.3984375" customWidth="1"/>
    <col min="1539" max="1539" width="7.59765625" customWidth="1"/>
    <col min="1540" max="1540" width="36.69921875" customWidth="1"/>
    <col min="1541" max="1541" width="21.8984375" customWidth="1"/>
    <col min="1542" max="1542" width="19.8984375" customWidth="1"/>
    <col min="1543" max="1543" width="16.8984375" customWidth="1"/>
    <col min="1545" max="1545" width="19.09765625" customWidth="1"/>
    <col min="1546" max="1546" width="18.3984375" bestFit="1" customWidth="1"/>
    <col min="1547" max="1547" width="23.3984375" customWidth="1"/>
    <col min="1795" max="1795" width="7.59765625" customWidth="1"/>
    <col min="1796" max="1796" width="36.69921875" customWidth="1"/>
    <col min="1797" max="1797" width="21.8984375" customWidth="1"/>
    <col min="1798" max="1798" width="19.8984375" customWidth="1"/>
    <col min="1799" max="1799" width="16.8984375" customWidth="1"/>
    <col min="1801" max="1801" width="19.09765625" customWidth="1"/>
    <col min="1802" max="1802" width="18.3984375" bestFit="1" customWidth="1"/>
    <col min="1803" max="1803" width="23.3984375" customWidth="1"/>
    <col min="2051" max="2051" width="7.59765625" customWidth="1"/>
    <col min="2052" max="2052" width="36.69921875" customWidth="1"/>
    <col min="2053" max="2053" width="21.8984375" customWidth="1"/>
    <col min="2054" max="2054" width="19.8984375" customWidth="1"/>
    <col min="2055" max="2055" width="16.8984375" customWidth="1"/>
    <col min="2057" max="2057" width="19.09765625" customWidth="1"/>
    <col min="2058" max="2058" width="18.3984375" bestFit="1" customWidth="1"/>
    <col min="2059" max="2059" width="23.3984375" customWidth="1"/>
    <col min="2307" max="2307" width="7.59765625" customWidth="1"/>
    <col min="2308" max="2308" width="36.69921875" customWidth="1"/>
    <col min="2309" max="2309" width="21.8984375" customWidth="1"/>
    <col min="2310" max="2310" width="19.8984375" customWidth="1"/>
    <col min="2311" max="2311" width="16.8984375" customWidth="1"/>
    <col min="2313" max="2313" width="19.09765625" customWidth="1"/>
    <col min="2314" max="2314" width="18.3984375" bestFit="1" customWidth="1"/>
    <col min="2315" max="2315" width="23.3984375" customWidth="1"/>
    <col min="2563" max="2563" width="7.59765625" customWidth="1"/>
    <col min="2564" max="2564" width="36.69921875" customWidth="1"/>
    <col min="2565" max="2565" width="21.8984375" customWidth="1"/>
    <col min="2566" max="2566" width="19.8984375" customWidth="1"/>
    <col min="2567" max="2567" width="16.8984375" customWidth="1"/>
    <col min="2569" max="2569" width="19.09765625" customWidth="1"/>
    <col min="2570" max="2570" width="18.3984375" bestFit="1" customWidth="1"/>
    <col min="2571" max="2571" width="23.3984375" customWidth="1"/>
    <col min="2819" max="2819" width="7.59765625" customWidth="1"/>
    <col min="2820" max="2820" width="36.69921875" customWidth="1"/>
    <col min="2821" max="2821" width="21.8984375" customWidth="1"/>
    <col min="2822" max="2822" width="19.8984375" customWidth="1"/>
    <col min="2823" max="2823" width="16.8984375" customWidth="1"/>
    <col min="2825" max="2825" width="19.09765625" customWidth="1"/>
    <col min="2826" max="2826" width="18.3984375" bestFit="1" customWidth="1"/>
    <col min="2827" max="2827" width="23.3984375" customWidth="1"/>
    <col min="3075" max="3075" width="7.59765625" customWidth="1"/>
    <col min="3076" max="3076" width="36.69921875" customWidth="1"/>
    <col min="3077" max="3077" width="21.8984375" customWidth="1"/>
    <col min="3078" max="3078" width="19.8984375" customWidth="1"/>
    <col min="3079" max="3079" width="16.8984375" customWidth="1"/>
    <col min="3081" max="3081" width="19.09765625" customWidth="1"/>
    <col min="3082" max="3082" width="18.3984375" bestFit="1" customWidth="1"/>
    <col min="3083" max="3083" width="23.3984375" customWidth="1"/>
    <col min="3331" max="3331" width="7.59765625" customWidth="1"/>
    <col min="3332" max="3332" width="36.69921875" customWidth="1"/>
    <col min="3333" max="3333" width="21.8984375" customWidth="1"/>
    <col min="3334" max="3334" width="19.8984375" customWidth="1"/>
    <col min="3335" max="3335" width="16.8984375" customWidth="1"/>
    <col min="3337" max="3337" width="19.09765625" customWidth="1"/>
    <col min="3338" max="3338" width="18.3984375" bestFit="1" customWidth="1"/>
    <col min="3339" max="3339" width="23.3984375" customWidth="1"/>
    <col min="3587" max="3587" width="7.59765625" customWidth="1"/>
    <col min="3588" max="3588" width="36.69921875" customWidth="1"/>
    <col min="3589" max="3589" width="21.8984375" customWidth="1"/>
    <col min="3590" max="3590" width="19.8984375" customWidth="1"/>
    <col min="3591" max="3591" width="16.8984375" customWidth="1"/>
    <col min="3593" max="3593" width="19.09765625" customWidth="1"/>
    <col min="3594" max="3594" width="18.3984375" bestFit="1" customWidth="1"/>
    <col min="3595" max="3595" width="23.3984375" customWidth="1"/>
    <col min="3843" max="3843" width="7.59765625" customWidth="1"/>
    <col min="3844" max="3844" width="36.69921875" customWidth="1"/>
    <col min="3845" max="3845" width="21.8984375" customWidth="1"/>
    <col min="3846" max="3846" width="19.8984375" customWidth="1"/>
    <col min="3847" max="3847" width="16.8984375" customWidth="1"/>
    <col min="3849" max="3849" width="19.09765625" customWidth="1"/>
    <col min="3850" max="3850" width="18.3984375" bestFit="1" customWidth="1"/>
    <col min="3851" max="3851" width="23.3984375" customWidth="1"/>
    <col min="4099" max="4099" width="7.59765625" customWidth="1"/>
    <col min="4100" max="4100" width="36.69921875" customWidth="1"/>
    <col min="4101" max="4101" width="21.8984375" customWidth="1"/>
    <col min="4102" max="4102" width="19.8984375" customWidth="1"/>
    <col min="4103" max="4103" width="16.8984375" customWidth="1"/>
    <col min="4105" max="4105" width="19.09765625" customWidth="1"/>
    <col min="4106" max="4106" width="18.3984375" bestFit="1" customWidth="1"/>
    <col min="4107" max="4107" width="23.3984375" customWidth="1"/>
    <col min="4355" max="4355" width="7.59765625" customWidth="1"/>
    <col min="4356" max="4356" width="36.69921875" customWidth="1"/>
    <col min="4357" max="4357" width="21.8984375" customWidth="1"/>
    <col min="4358" max="4358" width="19.8984375" customWidth="1"/>
    <col min="4359" max="4359" width="16.8984375" customWidth="1"/>
    <col min="4361" max="4361" width="19.09765625" customWidth="1"/>
    <col min="4362" max="4362" width="18.3984375" bestFit="1" customWidth="1"/>
    <col min="4363" max="4363" width="23.3984375" customWidth="1"/>
    <col min="4611" max="4611" width="7.59765625" customWidth="1"/>
    <col min="4612" max="4612" width="36.69921875" customWidth="1"/>
    <col min="4613" max="4613" width="21.8984375" customWidth="1"/>
    <col min="4614" max="4614" width="19.8984375" customWidth="1"/>
    <col min="4615" max="4615" width="16.8984375" customWidth="1"/>
    <col min="4617" max="4617" width="19.09765625" customWidth="1"/>
    <col min="4618" max="4618" width="18.3984375" bestFit="1" customWidth="1"/>
    <col min="4619" max="4619" width="23.3984375" customWidth="1"/>
    <col min="4867" max="4867" width="7.59765625" customWidth="1"/>
    <col min="4868" max="4868" width="36.69921875" customWidth="1"/>
    <col min="4869" max="4869" width="21.8984375" customWidth="1"/>
    <col min="4870" max="4870" width="19.8984375" customWidth="1"/>
    <col min="4871" max="4871" width="16.8984375" customWidth="1"/>
    <col min="4873" max="4873" width="19.09765625" customWidth="1"/>
    <col min="4874" max="4874" width="18.3984375" bestFit="1" customWidth="1"/>
    <col min="4875" max="4875" width="23.3984375" customWidth="1"/>
    <col min="5123" max="5123" width="7.59765625" customWidth="1"/>
    <col min="5124" max="5124" width="36.69921875" customWidth="1"/>
    <col min="5125" max="5125" width="21.8984375" customWidth="1"/>
    <col min="5126" max="5126" width="19.8984375" customWidth="1"/>
    <col min="5127" max="5127" width="16.8984375" customWidth="1"/>
    <col min="5129" max="5129" width="19.09765625" customWidth="1"/>
    <col min="5130" max="5130" width="18.3984375" bestFit="1" customWidth="1"/>
    <col min="5131" max="5131" width="23.3984375" customWidth="1"/>
    <col min="5379" max="5379" width="7.59765625" customWidth="1"/>
    <col min="5380" max="5380" width="36.69921875" customWidth="1"/>
    <col min="5381" max="5381" width="21.8984375" customWidth="1"/>
    <col min="5382" max="5382" width="19.8984375" customWidth="1"/>
    <col min="5383" max="5383" width="16.8984375" customWidth="1"/>
    <col min="5385" max="5385" width="19.09765625" customWidth="1"/>
    <col min="5386" max="5386" width="18.3984375" bestFit="1" customWidth="1"/>
    <col min="5387" max="5387" width="23.3984375" customWidth="1"/>
    <col min="5635" max="5635" width="7.59765625" customWidth="1"/>
    <col min="5636" max="5636" width="36.69921875" customWidth="1"/>
    <col min="5637" max="5637" width="21.8984375" customWidth="1"/>
    <col min="5638" max="5638" width="19.8984375" customWidth="1"/>
    <col min="5639" max="5639" width="16.8984375" customWidth="1"/>
    <col min="5641" max="5641" width="19.09765625" customWidth="1"/>
    <col min="5642" max="5642" width="18.3984375" bestFit="1" customWidth="1"/>
    <col min="5643" max="5643" width="23.3984375" customWidth="1"/>
    <col min="5891" max="5891" width="7.59765625" customWidth="1"/>
    <col min="5892" max="5892" width="36.69921875" customWidth="1"/>
    <col min="5893" max="5893" width="21.8984375" customWidth="1"/>
    <col min="5894" max="5894" width="19.8984375" customWidth="1"/>
    <col min="5895" max="5895" width="16.8984375" customWidth="1"/>
    <col min="5897" max="5897" width="19.09765625" customWidth="1"/>
    <col min="5898" max="5898" width="18.3984375" bestFit="1" customWidth="1"/>
    <col min="5899" max="5899" width="23.3984375" customWidth="1"/>
    <col min="6147" max="6147" width="7.59765625" customWidth="1"/>
    <col min="6148" max="6148" width="36.69921875" customWidth="1"/>
    <col min="6149" max="6149" width="21.8984375" customWidth="1"/>
    <col min="6150" max="6150" width="19.8984375" customWidth="1"/>
    <col min="6151" max="6151" width="16.8984375" customWidth="1"/>
    <col min="6153" max="6153" width="19.09765625" customWidth="1"/>
    <col min="6154" max="6154" width="18.3984375" bestFit="1" customWidth="1"/>
    <col min="6155" max="6155" width="23.3984375" customWidth="1"/>
    <col min="6403" max="6403" width="7.59765625" customWidth="1"/>
    <col min="6404" max="6404" width="36.69921875" customWidth="1"/>
    <col min="6405" max="6405" width="21.8984375" customWidth="1"/>
    <col min="6406" max="6406" width="19.8984375" customWidth="1"/>
    <col min="6407" max="6407" width="16.8984375" customWidth="1"/>
    <col min="6409" max="6409" width="19.09765625" customWidth="1"/>
    <col min="6410" max="6410" width="18.3984375" bestFit="1" customWidth="1"/>
    <col min="6411" max="6411" width="23.3984375" customWidth="1"/>
    <col min="6659" max="6659" width="7.59765625" customWidth="1"/>
    <col min="6660" max="6660" width="36.69921875" customWidth="1"/>
    <col min="6661" max="6661" width="21.8984375" customWidth="1"/>
    <col min="6662" max="6662" width="19.8984375" customWidth="1"/>
    <col min="6663" max="6663" width="16.8984375" customWidth="1"/>
    <col min="6665" max="6665" width="19.09765625" customWidth="1"/>
    <col min="6666" max="6666" width="18.3984375" bestFit="1" customWidth="1"/>
    <col min="6667" max="6667" width="23.3984375" customWidth="1"/>
    <col min="6915" max="6915" width="7.59765625" customWidth="1"/>
    <col min="6916" max="6916" width="36.69921875" customWidth="1"/>
    <col min="6917" max="6917" width="21.8984375" customWidth="1"/>
    <col min="6918" max="6918" width="19.8984375" customWidth="1"/>
    <col min="6919" max="6919" width="16.8984375" customWidth="1"/>
    <col min="6921" max="6921" width="19.09765625" customWidth="1"/>
    <col min="6922" max="6922" width="18.3984375" bestFit="1" customWidth="1"/>
    <col min="6923" max="6923" width="23.3984375" customWidth="1"/>
    <col min="7171" max="7171" width="7.59765625" customWidth="1"/>
    <col min="7172" max="7172" width="36.69921875" customWidth="1"/>
    <col min="7173" max="7173" width="21.8984375" customWidth="1"/>
    <col min="7174" max="7174" width="19.8984375" customWidth="1"/>
    <col min="7175" max="7175" width="16.8984375" customWidth="1"/>
    <col min="7177" max="7177" width="19.09765625" customWidth="1"/>
    <col min="7178" max="7178" width="18.3984375" bestFit="1" customWidth="1"/>
    <col min="7179" max="7179" width="23.3984375" customWidth="1"/>
    <col min="7427" max="7427" width="7.59765625" customWidth="1"/>
    <col min="7428" max="7428" width="36.69921875" customWidth="1"/>
    <col min="7429" max="7429" width="21.8984375" customWidth="1"/>
    <col min="7430" max="7430" width="19.8984375" customWidth="1"/>
    <col min="7431" max="7431" width="16.8984375" customWidth="1"/>
    <col min="7433" max="7433" width="19.09765625" customWidth="1"/>
    <col min="7434" max="7434" width="18.3984375" bestFit="1" customWidth="1"/>
    <col min="7435" max="7435" width="23.3984375" customWidth="1"/>
    <col min="7683" max="7683" width="7.59765625" customWidth="1"/>
    <col min="7684" max="7684" width="36.69921875" customWidth="1"/>
    <col min="7685" max="7685" width="21.8984375" customWidth="1"/>
    <col min="7686" max="7686" width="19.8984375" customWidth="1"/>
    <col min="7687" max="7687" width="16.8984375" customWidth="1"/>
    <col min="7689" max="7689" width="19.09765625" customWidth="1"/>
    <col min="7690" max="7690" width="18.3984375" bestFit="1" customWidth="1"/>
    <col min="7691" max="7691" width="23.3984375" customWidth="1"/>
    <col min="7939" max="7939" width="7.59765625" customWidth="1"/>
    <col min="7940" max="7940" width="36.69921875" customWidth="1"/>
    <col min="7941" max="7941" width="21.8984375" customWidth="1"/>
    <col min="7942" max="7942" width="19.8984375" customWidth="1"/>
    <col min="7943" max="7943" width="16.8984375" customWidth="1"/>
    <col min="7945" max="7945" width="19.09765625" customWidth="1"/>
    <col min="7946" max="7946" width="18.3984375" bestFit="1" customWidth="1"/>
    <col min="7947" max="7947" width="23.3984375" customWidth="1"/>
    <col min="8195" max="8195" width="7.59765625" customWidth="1"/>
    <col min="8196" max="8196" width="36.69921875" customWidth="1"/>
    <col min="8197" max="8197" width="21.8984375" customWidth="1"/>
    <col min="8198" max="8198" width="19.8984375" customWidth="1"/>
    <col min="8199" max="8199" width="16.8984375" customWidth="1"/>
    <col min="8201" max="8201" width="19.09765625" customWidth="1"/>
    <col min="8202" max="8202" width="18.3984375" bestFit="1" customWidth="1"/>
    <col min="8203" max="8203" width="23.3984375" customWidth="1"/>
    <col min="8451" max="8451" width="7.59765625" customWidth="1"/>
    <col min="8452" max="8452" width="36.69921875" customWidth="1"/>
    <col min="8453" max="8453" width="21.8984375" customWidth="1"/>
    <col min="8454" max="8454" width="19.8984375" customWidth="1"/>
    <col min="8455" max="8455" width="16.8984375" customWidth="1"/>
    <col min="8457" max="8457" width="19.09765625" customWidth="1"/>
    <col min="8458" max="8458" width="18.3984375" bestFit="1" customWidth="1"/>
    <col min="8459" max="8459" width="23.3984375" customWidth="1"/>
    <col min="8707" max="8707" width="7.59765625" customWidth="1"/>
    <col min="8708" max="8708" width="36.69921875" customWidth="1"/>
    <col min="8709" max="8709" width="21.8984375" customWidth="1"/>
    <col min="8710" max="8710" width="19.8984375" customWidth="1"/>
    <col min="8711" max="8711" width="16.8984375" customWidth="1"/>
    <col min="8713" max="8713" width="19.09765625" customWidth="1"/>
    <col min="8714" max="8714" width="18.3984375" bestFit="1" customWidth="1"/>
    <col min="8715" max="8715" width="23.3984375" customWidth="1"/>
    <col min="8963" max="8963" width="7.59765625" customWidth="1"/>
    <col min="8964" max="8964" width="36.69921875" customWidth="1"/>
    <col min="8965" max="8965" width="21.8984375" customWidth="1"/>
    <col min="8966" max="8966" width="19.8984375" customWidth="1"/>
    <col min="8967" max="8967" width="16.8984375" customWidth="1"/>
    <col min="8969" max="8969" width="19.09765625" customWidth="1"/>
    <col min="8970" max="8970" width="18.3984375" bestFit="1" customWidth="1"/>
    <col min="8971" max="8971" width="23.3984375" customWidth="1"/>
    <col min="9219" max="9219" width="7.59765625" customWidth="1"/>
    <col min="9220" max="9220" width="36.69921875" customWidth="1"/>
    <col min="9221" max="9221" width="21.8984375" customWidth="1"/>
    <col min="9222" max="9222" width="19.8984375" customWidth="1"/>
    <col min="9223" max="9223" width="16.8984375" customWidth="1"/>
    <col min="9225" max="9225" width="19.09765625" customWidth="1"/>
    <col min="9226" max="9226" width="18.3984375" bestFit="1" customWidth="1"/>
    <col min="9227" max="9227" width="23.3984375" customWidth="1"/>
    <col min="9475" max="9475" width="7.59765625" customWidth="1"/>
    <col min="9476" max="9476" width="36.69921875" customWidth="1"/>
    <col min="9477" max="9477" width="21.8984375" customWidth="1"/>
    <col min="9478" max="9478" width="19.8984375" customWidth="1"/>
    <col min="9479" max="9479" width="16.8984375" customWidth="1"/>
    <col min="9481" max="9481" width="19.09765625" customWidth="1"/>
    <col min="9482" max="9482" width="18.3984375" bestFit="1" customWidth="1"/>
    <col min="9483" max="9483" width="23.3984375" customWidth="1"/>
    <col min="9731" max="9731" width="7.59765625" customWidth="1"/>
    <col min="9732" max="9732" width="36.69921875" customWidth="1"/>
    <col min="9733" max="9733" width="21.8984375" customWidth="1"/>
    <col min="9734" max="9734" width="19.8984375" customWidth="1"/>
    <col min="9735" max="9735" width="16.8984375" customWidth="1"/>
    <col min="9737" max="9737" width="19.09765625" customWidth="1"/>
    <col min="9738" max="9738" width="18.3984375" bestFit="1" customWidth="1"/>
    <col min="9739" max="9739" width="23.3984375" customWidth="1"/>
    <col min="9987" max="9987" width="7.59765625" customWidth="1"/>
    <col min="9988" max="9988" width="36.69921875" customWidth="1"/>
    <col min="9989" max="9989" width="21.8984375" customWidth="1"/>
    <col min="9990" max="9990" width="19.8984375" customWidth="1"/>
    <col min="9991" max="9991" width="16.8984375" customWidth="1"/>
    <col min="9993" max="9993" width="19.09765625" customWidth="1"/>
    <col min="9994" max="9994" width="18.3984375" bestFit="1" customWidth="1"/>
    <col min="9995" max="9995" width="23.3984375" customWidth="1"/>
    <col min="10243" max="10243" width="7.59765625" customWidth="1"/>
    <col min="10244" max="10244" width="36.69921875" customWidth="1"/>
    <col min="10245" max="10245" width="21.8984375" customWidth="1"/>
    <col min="10246" max="10246" width="19.8984375" customWidth="1"/>
    <col min="10247" max="10247" width="16.8984375" customWidth="1"/>
    <col min="10249" max="10249" width="19.09765625" customWidth="1"/>
    <col min="10250" max="10250" width="18.3984375" bestFit="1" customWidth="1"/>
    <col min="10251" max="10251" width="23.3984375" customWidth="1"/>
    <col min="10499" max="10499" width="7.59765625" customWidth="1"/>
    <col min="10500" max="10500" width="36.69921875" customWidth="1"/>
    <col min="10501" max="10501" width="21.8984375" customWidth="1"/>
    <col min="10502" max="10502" width="19.8984375" customWidth="1"/>
    <col min="10503" max="10503" width="16.8984375" customWidth="1"/>
    <col min="10505" max="10505" width="19.09765625" customWidth="1"/>
    <col min="10506" max="10506" width="18.3984375" bestFit="1" customWidth="1"/>
    <col min="10507" max="10507" width="23.3984375" customWidth="1"/>
    <col min="10755" max="10755" width="7.59765625" customWidth="1"/>
    <col min="10756" max="10756" width="36.69921875" customWidth="1"/>
    <col min="10757" max="10757" width="21.8984375" customWidth="1"/>
    <col min="10758" max="10758" width="19.8984375" customWidth="1"/>
    <col min="10759" max="10759" width="16.8984375" customWidth="1"/>
    <col min="10761" max="10761" width="19.09765625" customWidth="1"/>
    <col min="10762" max="10762" width="18.3984375" bestFit="1" customWidth="1"/>
    <col min="10763" max="10763" width="23.3984375" customWidth="1"/>
    <col min="11011" max="11011" width="7.59765625" customWidth="1"/>
    <col min="11012" max="11012" width="36.69921875" customWidth="1"/>
    <col min="11013" max="11013" width="21.8984375" customWidth="1"/>
    <col min="11014" max="11014" width="19.8984375" customWidth="1"/>
    <col min="11015" max="11015" width="16.8984375" customWidth="1"/>
    <col min="11017" max="11017" width="19.09765625" customWidth="1"/>
    <col min="11018" max="11018" width="18.3984375" bestFit="1" customWidth="1"/>
    <col min="11019" max="11019" width="23.3984375" customWidth="1"/>
    <col min="11267" max="11267" width="7.59765625" customWidth="1"/>
    <col min="11268" max="11268" width="36.69921875" customWidth="1"/>
    <col min="11269" max="11269" width="21.8984375" customWidth="1"/>
    <col min="11270" max="11270" width="19.8984375" customWidth="1"/>
    <col min="11271" max="11271" width="16.8984375" customWidth="1"/>
    <col min="11273" max="11273" width="19.09765625" customWidth="1"/>
    <col min="11274" max="11274" width="18.3984375" bestFit="1" customWidth="1"/>
    <col min="11275" max="11275" width="23.3984375" customWidth="1"/>
    <col min="11523" max="11523" width="7.59765625" customWidth="1"/>
    <col min="11524" max="11524" width="36.69921875" customWidth="1"/>
    <col min="11525" max="11525" width="21.8984375" customWidth="1"/>
    <col min="11526" max="11526" width="19.8984375" customWidth="1"/>
    <col min="11527" max="11527" width="16.8984375" customWidth="1"/>
    <col min="11529" max="11529" width="19.09765625" customWidth="1"/>
    <col min="11530" max="11530" width="18.3984375" bestFit="1" customWidth="1"/>
    <col min="11531" max="11531" width="23.3984375" customWidth="1"/>
    <col min="11779" max="11779" width="7.59765625" customWidth="1"/>
    <col min="11780" max="11780" width="36.69921875" customWidth="1"/>
    <col min="11781" max="11781" width="21.8984375" customWidth="1"/>
    <col min="11782" max="11782" width="19.8984375" customWidth="1"/>
    <col min="11783" max="11783" width="16.8984375" customWidth="1"/>
    <col min="11785" max="11785" width="19.09765625" customWidth="1"/>
    <col min="11786" max="11786" width="18.3984375" bestFit="1" customWidth="1"/>
    <col min="11787" max="11787" width="23.3984375" customWidth="1"/>
    <col min="12035" max="12035" width="7.59765625" customWidth="1"/>
    <col min="12036" max="12036" width="36.69921875" customWidth="1"/>
    <col min="12037" max="12037" width="21.8984375" customWidth="1"/>
    <col min="12038" max="12038" width="19.8984375" customWidth="1"/>
    <col min="12039" max="12039" width="16.8984375" customWidth="1"/>
    <col min="12041" max="12041" width="19.09765625" customWidth="1"/>
    <col min="12042" max="12042" width="18.3984375" bestFit="1" customWidth="1"/>
    <col min="12043" max="12043" width="23.3984375" customWidth="1"/>
    <col min="12291" max="12291" width="7.59765625" customWidth="1"/>
    <col min="12292" max="12292" width="36.69921875" customWidth="1"/>
    <col min="12293" max="12293" width="21.8984375" customWidth="1"/>
    <col min="12294" max="12294" width="19.8984375" customWidth="1"/>
    <col min="12295" max="12295" width="16.8984375" customWidth="1"/>
    <col min="12297" max="12297" width="19.09765625" customWidth="1"/>
    <col min="12298" max="12298" width="18.3984375" bestFit="1" customWidth="1"/>
    <col min="12299" max="12299" width="23.3984375" customWidth="1"/>
    <col min="12547" max="12547" width="7.59765625" customWidth="1"/>
    <col min="12548" max="12548" width="36.69921875" customWidth="1"/>
    <col min="12549" max="12549" width="21.8984375" customWidth="1"/>
    <col min="12550" max="12550" width="19.8984375" customWidth="1"/>
    <col min="12551" max="12551" width="16.8984375" customWidth="1"/>
    <col min="12553" max="12553" width="19.09765625" customWidth="1"/>
    <col min="12554" max="12554" width="18.3984375" bestFit="1" customWidth="1"/>
    <col min="12555" max="12555" width="23.3984375" customWidth="1"/>
    <col min="12803" max="12803" width="7.59765625" customWidth="1"/>
    <col min="12804" max="12804" width="36.69921875" customWidth="1"/>
    <col min="12805" max="12805" width="21.8984375" customWidth="1"/>
    <col min="12806" max="12806" width="19.8984375" customWidth="1"/>
    <col min="12807" max="12807" width="16.8984375" customWidth="1"/>
    <col min="12809" max="12809" width="19.09765625" customWidth="1"/>
    <col min="12810" max="12810" width="18.3984375" bestFit="1" customWidth="1"/>
    <col min="12811" max="12811" width="23.3984375" customWidth="1"/>
    <col min="13059" max="13059" width="7.59765625" customWidth="1"/>
    <col min="13060" max="13060" width="36.69921875" customWidth="1"/>
    <col min="13061" max="13061" width="21.8984375" customWidth="1"/>
    <col min="13062" max="13062" width="19.8984375" customWidth="1"/>
    <col min="13063" max="13063" width="16.8984375" customWidth="1"/>
    <col min="13065" max="13065" width="19.09765625" customWidth="1"/>
    <col min="13066" max="13066" width="18.3984375" bestFit="1" customWidth="1"/>
    <col min="13067" max="13067" width="23.3984375" customWidth="1"/>
    <col min="13315" max="13315" width="7.59765625" customWidth="1"/>
    <col min="13316" max="13316" width="36.69921875" customWidth="1"/>
    <col min="13317" max="13317" width="21.8984375" customWidth="1"/>
    <col min="13318" max="13318" width="19.8984375" customWidth="1"/>
    <col min="13319" max="13319" width="16.8984375" customWidth="1"/>
    <col min="13321" max="13321" width="19.09765625" customWidth="1"/>
    <col min="13322" max="13322" width="18.3984375" bestFit="1" customWidth="1"/>
    <col min="13323" max="13323" width="23.3984375" customWidth="1"/>
    <col min="13571" max="13571" width="7.59765625" customWidth="1"/>
    <col min="13572" max="13572" width="36.69921875" customWidth="1"/>
    <col min="13573" max="13573" width="21.8984375" customWidth="1"/>
    <col min="13574" max="13574" width="19.8984375" customWidth="1"/>
    <col min="13575" max="13575" width="16.8984375" customWidth="1"/>
    <col min="13577" max="13577" width="19.09765625" customWidth="1"/>
    <col min="13578" max="13578" width="18.3984375" bestFit="1" customWidth="1"/>
    <col min="13579" max="13579" width="23.3984375" customWidth="1"/>
    <col min="13827" max="13827" width="7.59765625" customWidth="1"/>
    <col min="13828" max="13828" width="36.69921875" customWidth="1"/>
    <col min="13829" max="13829" width="21.8984375" customWidth="1"/>
    <col min="13830" max="13830" width="19.8984375" customWidth="1"/>
    <col min="13831" max="13831" width="16.8984375" customWidth="1"/>
    <col min="13833" max="13833" width="19.09765625" customWidth="1"/>
    <col min="13834" max="13834" width="18.3984375" bestFit="1" customWidth="1"/>
    <col min="13835" max="13835" width="23.3984375" customWidth="1"/>
    <col min="14083" max="14083" width="7.59765625" customWidth="1"/>
    <col min="14084" max="14084" width="36.69921875" customWidth="1"/>
    <col min="14085" max="14085" width="21.8984375" customWidth="1"/>
    <col min="14086" max="14086" width="19.8984375" customWidth="1"/>
    <col min="14087" max="14087" width="16.8984375" customWidth="1"/>
    <col min="14089" max="14089" width="19.09765625" customWidth="1"/>
    <col min="14090" max="14090" width="18.3984375" bestFit="1" customWidth="1"/>
    <col min="14091" max="14091" width="23.3984375" customWidth="1"/>
    <col min="14339" max="14339" width="7.59765625" customWidth="1"/>
    <col min="14340" max="14340" width="36.69921875" customWidth="1"/>
    <col min="14341" max="14341" width="21.8984375" customWidth="1"/>
    <col min="14342" max="14342" width="19.8984375" customWidth="1"/>
    <col min="14343" max="14343" width="16.8984375" customWidth="1"/>
    <col min="14345" max="14345" width="19.09765625" customWidth="1"/>
    <col min="14346" max="14346" width="18.3984375" bestFit="1" customWidth="1"/>
    <col min="14347" max="14347" width="23.3984375" customWidth="1"/>
    <col min="14595" max="14595" width="7.59765625" customWidth="1"/>
    <col min="14596" max="14596" width="36.69921875" customWidth="1"/>
    <col min="14597" max="14597" width="21.8984375" customWidth="1"/>
    <col min="14598" max="14598" width="19.8984375" customWidth="1"/>
    <col min="14599" max="14599" width="16.8984375" customWidth="1"/>
    <col min="14601" max="14601" width="19.09765625" customWidth="1"/>
    <col min="14602" max="14602" width="18.3984375" bestFit="1" customWidth="1"/>
    <col min="14603" max="14603" width="23.3984375" customWidth="1"/>
    <col min="14851" max="14851" width="7.59765625" customWidth="1"/>
    <col min="14852" max="14852" width="36.69921875" customWidth="1"/>
    <col min="14853" max="14853" width="21.8984375" customWidth="1"/>
    <col min="14854" max="14854" width="19.8984375" customWidth="1"/>
    <col min="14855" max="14855" width="16.8984375" customWidth="1"/>
    <col min="14857" max="14857" width="19.09765625" customWidth="1"/>
    <col min="14858" max="14858" width="18.3984375" bestFit="1" customWidth="1"/>
    <col min="14859" max="14859" width="23.3984375" customWidth="1"/>
    <col min="15107" max="15107" width="7.59765625" customWidth="1"/>
    <col min="15108" max="15108" width="36.69921875" customWidth="1"/>
    <col min="15109" max="15109" width="21.8984375" customWidth="1"/>
    <col min="15110" max="15110" width="19.8984375" customWidth="1"/>
    <col min="15111" max="15111" width="16.8984375" customWidth="1"/>
    <col min="15113" max="15113" width="19.09765625" customWidth="1"/>
    <col min="15114" max="15114" width="18.3984375" bestFit="1" customWidth="1"/>
    <col min="15115" max="15115" width="23.3984375" customWidth="1"/>
    <col min="15363" max="15363" width="7.59765625" customWidth="1"/>
    <col min="15364" max="15364" width="36.69921875" customWidth="1"/>
    <col min="15365" max="15365" width="21.8984375" customWidth="1"/>
    <col min="15366" max="15366" width="19.8984375" customWidth="1"/>
    <col min="15367" max="15367" width="16.8984375" customWidth="1"/>
    <col min="15369" max="15369" width="19.09765625" customWidth="1"/>
    <col min="15370" max="15370" width="18.3984375" bestFit="1" customWidth="1"/>
    <col min="15371" max="15371" width="23.3984375" customWidth="1"/>
    <col min="15619" max="15619" width="7.59765625" customWidth="1"/>
    <col min="15620" max="15620" width="36.69921875" customWidth="1"/>
    <col min="15621" max="15621" width="21.8984375" customWidth="1"/>
    <col min="15622" max="15622" width="19.8984375" customWidth="1"/>
    <col min="15623" max="15623" width="16.8984375" customWidth="1"/>
    <col min="15625" max="15625" width="19.09765625" customWidth="1"/>
    <col min="15626" max="15626" width="18.3984375" bestFit="1" customWidth="1"/>
    <col min="15627" max="15627" width="23.3984375" customWidth="1"/>
    <col min="15875" max="15875" width="7.59765625" customWidth="1"/>
    <col min="15876" max="15876" width="36.69921875" customWidth="1"/>
    <col min="15877" max="15877" width="21.8984375" customWidth="1"/>
    <col min="15878" max="15878" width="19.8984375" customWidth="1"/>
    <col min="15879" max="15879" width="16.8984375" customWidth="1"/>
    <col min="15881" max="15881" width="19.09765625" customWidth="1"/>
    <col min="15882" max="15882" width="18.3984375" bestFit="1" customWidth="1"/>
    <col min="15883" max="15883" width="23.3984375" customWidth="1"/>
    <col min="16131" max="16131" width="7.59765625" customWidth="1"/>
    <col min="16132" max="16132" width="36.69921875" customWidth="1"/>
    <col min="16133" max="16133" width="21.8984375" customWidth="1"/>
    <col min="16134" max="16134" width="19.8984375" customWidth="1"/>
    <col min="16135" max="16135" width="16.8984375" customWidth="1"/>
    <col min="16137" max="16137" width="19.09765625" customWidth="1"/>
    <col min="16138" max="16138" width="18.3984375" bestFit="1" customWidth="1"/>
    <col min="16139" max="16139" width="23.3984375" customWidth="1"/>
  </cols>
  <sheetData>
    <row r="1" spans="1:12" ht="31.05" customHeight="1">
      <c r="A1" s="330" t="s">
        <v>396</v>
      </c>
      <c r="B1" s="330"/>
      <c r="C1" s="330"/>
      <c r="D1" s="330"/>
      <c r="E1" s="330"/>
      <c r="F1" s="330"/>
      <c r="G1" s="330"/>
      <c r="J1" s="60"/>
    </row>
    <row r="2" spans="1:12" s="47" customFormat="1" ht="21.95" customHeight="1">
      <c r="A2" s="290" t="str">
        <f>链接表!A5&amp;链接表!B5</f>
        <v>招标人：信宜市旅游投资发展有限公司</v>
      </c>
      <c r="B2" s="290"/>
      <c r="C2" s="290"/>
      <c r="D2" s="147"/>
      <c r="E2" s="147"/>
      <c r="F2" s="147"/>
      <c r="G2" s="148"/>
    </row>
    <row r="3" spans="1:12" s="47" customFormat="1" ht="21.95" customHeight="1">
      <c r="A3" s="290" t="str">
        <f>链接表!A6&amp;链接表!B6</f>
        <v>招标代理：深圳群伦项目管理有限公司</v>
      </c>
      <c r="B3" s="290"/>
      <c r="C3" s="290"/>
      <c r="D3" s="149"/>
      <c r="E3" s="149"/>
      <c r="F3" s="149"/>
      <c r="G3" s="150"/>
    </row>
    <row r="4" spans="1:12" s="34" customFormat="1" ht="57.5" customHeight="1">
      <c r="A4" s="194" t="s">
        <v>26</v>
      </c>
      <c r="B4" s="195" t="s">
        <v>27</v>
      </c>
      <c r="C4" s="195" t="s">
        <v>403</v>
      </c>
      <c r="D4" s="195" t="s">
        <v>392</v>
      </c>
      <c r="E4" s="195" t="s">
        <v>404</v>
      </c>
      <c r="F4" s="195" t="s">
        <v>392</v>
      </c>
      <c r="G4" s="195" t="s">
        <v>35</v>
      </c>
    </row>
    <row r="5" spans="1:12" s="34" customFormat="1" ht="32.25" customHeight="1">
      <c r="A5" s="39">
        <v>1</v>
      </c>
      <c r="B5" s="196" t="str">
        <f>链接表!B35</f>
        <v>广东省001某某工程股份有限公司</v>
      </c>
      <c r="C5" s="198">
        <f>1-开标现场记录表!J5</f>
        <v>0.9</v>
      </c>
      <c r="D5" s="197" t="str">
        <f>IF(C5&gt;=$C$12,"有效","无效")</f>
        <v>有效</v>
      </c>
      <c r="E5" s="199">
        <f>1-开标现场记录表!K5</f>
        <v>0.94</v>
      </c>
      <c r="F5" s="197" t="str">
        <f t="shared" ref="F5:F10" si="0">IF(E5&gt;=$E$12,"有效","无效")</f>
        <v>有效</v>
      </c>
      <c r="G5" s="40"/>
    </row>
    <row r="6" spans="1:12" s="34" customFormat="1" ht="32.25" customHeight="1">
      <c r="A6" s="39">
        <v>2</v>
      </c>
      <c r="B6" s="196" t="str">
        <f>链接表!B36</f>
        <v>广东省002某某工程股份有限公司</v>
      </c>
      <c r="C6" s="198">
        <f>1-开标现场记录表!J6</f>
        <v>0.88</v>
      </c>
      <c r="D6" s="197" t="str">
        <f>IF(C6&gt;=$C$12,"有效","无效")</f>
        <v>有效</v>
      </c>
      <c r="E6" s="199">
        <f>1-开标现场记录表!K6</f>
        <v>0.93</v>
      </c>
      <c r="F6" s="197" t="str">
        <f t="shared" si="0"/>
        <v>有效</v>
      </c>
      <c r="G6" s="40"/>
    </row>
    <row r="7" spans="1:12" s="34" customFormat="1" ht="32.25" customHeight="1">
      <c r="A7" s="39">
        <v>3</v>
      </c>
      <c r="B7" s="196" t="str">
        <f>链接表!B37</f>
        <v>广东省003某某工程股份有限公司</v>
      </c>
      <c r="C7" s="198">
        <f>1-开标现场记录表!J7</f>
        <v>0.89</v>
      </c>
      <c r="D7" s="197" t="str">
        <f>IF(C7&gt;=$C$12,"有效","无效")</f>
        <v>有效</v>
      </c>
      <c r="E7" s="199">
        <f>1-开标现场记录表!K7</f>
        <v>0.92</v>
      </c>
      <c r="F7" s="197" t="str">
        <f t="shared" si="0"/>
        <v>有效</v>
      </c>
      <c r="G7" s="40"/>
    </row>
    <row r="8" spans="1:12" s="34" customFormat="1" ht="32.25" customHeight="1">
      <c r="A8" s="39">
        <v>4</v>
      </c>
      <c r="B8" s="196" t="str">
        <f>链接表!B38</f>
        <v>广东省004某某工程股份有限公司</v>
      </c>
      <c r="C8" s="198">
        <f>1-开标现场记录表!J8</f>
        <v>0.91</v>
      </c>
      <c r="D8" s="197" t="str">
        <f>IF(C8&gt;=$C$12,"有效","无效")</f>
        <v>有效</v>
      </c>
      <c r="E8" s="199">
        <f>1-开标现场记录表!K8</f>
        <v>0.91</v>
      </c>
      <c r="F8" s="197" t="str">
        <f t="shared" si="0"/>
        <v>有效</v>
      </c>
      <c r="G8" s="40"/>
    </row>
    <row r="9" spans="1:12" s="34" customFormat="1" ht="32.25" customHeight="1">
      <c r="A9" s="39">
        <v>5</v>
      </c>
      <c r="B9" s="196" t="str">
        <f>链接表!B39</f>
        <v>广东省005某某工程股份有限公司</v>
      </c>
      <c r="C9" s="198">
        <f>1-开标现场记录表!J9</f>
        <v>0.92</v>
      </c>
      <c r="D9" s="197" t="str">
        <f>IF(C9&gt;=$C$12,"有效","无效")</f>
        <v>有效</v>
      </c>
      <c r="E9" s="199">
        <f>1-开标现场记录表!K9</f>
        <v>0.9</v>
      </c>
      <c r="F9" s="197" t="str">
        <f t="shared" si="0"/>
        <v>有效</v>
      </c>
      <c r="G9" s="40"/>
    </row>
    <row r="10" spans="1:12" s="34" customFormat="1" ht="32.25" customHeight="1">
      <c r="A10" s="39">
        <v>6</v>
      </c>
      <c r="B10" s="196" t="str">
        <f>链接表!B40</f>
        <v>广东省006某某工程股份有限公司</v>
      </c>
      <c r="C10" s="198">
        <f>1-开标现场记录表!J10</f>
        <v>0.89</v>
      </c>
      <c r="D10" s="197" t="str">
        <f t="shared" ref="D10" si="1">IF(C10&gt;=$C$12,"有效","无效")</f>
        <v>有效</v>
      </c>
      <c r="E10" s="199">
        <f>1-开标现场记录表!K10</f>
        <v>0.89</v>
      </c>
      <c r="F10" s="197" t="str">
        <f t="shared" si="0"/>
        <v>有效</v>
      </c>
      <c r="G10" s="40"/>
    </row>
    <row r="11" spans="1:12" s="43" customFormat="1" ht="33" customHeight="1">
      <c r="A11" s="326" t="s">
        <v>393</v>
      </c>
      <c r="B11" s="327"/>
      <c r="C11" s="328">
        <f>SUM(C5:C10)/COUNTA(链接表!B35:B54)</f>
        <v>0.89829999999999999</v>
      </c>
      <c r="D11" s="329"/>
      <c r="E11" s="328">
        <f>SUM(E5:E10)/COUNTA(链接表!B35:B54)</f>
        <v>0.91500000000000004</v>
      </c>
      <c r="F11" s="329"/>
      <c r="G11" s="200"/>
      <c r="H11" s="46"/>
      <c r="I11" s="46"/>
      <c r="J11" s="46"/>
      <c r="K11" s="46"/>
      <c r="L11" s="46"/>
    </row>
    <row r="12" spans="1:12" s="43" customFormat="1" ht="33" customHeight="1">
      <c r="A12" s="326" t="s">
        <v>394</v>
      </c>
      <c r="B12" s="327"/>
      <c r="C12" s="328">
        <f>C11*80%</f>
        <v>0.71860000000000002</v>
      </c>
      <c r="D12" s="329"/>
      <c r="E12" s="331">
        <f>E11*80%</f>
        <v>0.73199999999999998</v>
      </c>
      <c r="F12" s="331"/>
      <c r="G12" s="200"/>
      <c r="H12" s="46"/>
      <c r="I12" s="46"/>
      <c r="J12" s="46"/>
      <c r="K12" s="46"/>
      <c r="L12" s="46"/>
    </row>
    <row r="13" spans="1:12" s="43" customFormat="1" ht="33.299999999999997" customHeight="1">
      <c r="A13" s="326" t="s">
        <v>395</v>
      </c>
      <c r="B13" s="327"/>
      <c r="C13" s="328">
        <f>SUMIF(D5:D10,"有效",C5:C10)/COUNTIF(D5:D10,"有效")</f>
        <v>0.89829999999999999</v>
      </c>
      <c r="D13" s="329"/>
      <c r="E13" s="328">
        <f>SUMIF(F5:F10,"有效",E5:E10)/COUNTIF(F5:F10,"有效")</f>
        <v>0.91500000000000004</v>
      </c>
      <c r="F13" s="329"/>
      <c r="G13" s="200"/>
      <c r="H13" s="46"/>
      <c r="I13" s="46"/>
      <c r="J13" s="46"/>
      <c r="K13" s="46"/>
      <c r="L13" s="46"/>
    </row>
    <row r="14" spans="1:12" ht="18" customHeight="1"/>
    <row r="15" spans="1:12" ht="18" customHeight="1"/>
    <row r="16" spans="1:12" ht="18" customHeight="1"/>
    <row r="17" ht="18" customHeight="1"/>
    <row r="18" ht="18" customHeight="1"/>
  </sheetData>
  <mergeCells count="12">
    <mergeCell ref="A13:B13"/>
    <mergeCell ref="C13:D13"/>
    <mergeCell ref="E13:F13"/>
    <mergeCell ref="A1:G1"/>
    <mergeCell ref="A11:B11"/>
    <mergeCell ref="A12:B12"/>
    <mergeCell ref="A2:C2"/>
    <mergeCell ref="A3:C3"/>
    <mergeCell ref="C11:D11"/>
    <mergeCell ref="C12:D12"/>
    <mergeCell ref="E11:F11"/>
    <mergeCell ref="E12:F12"/>
  </mergeCells>
  <phoneticPr fontId="110" type="noConversion"/>
  <pageMargins left="0.37" right="0.32" top="0.75" bottom="0.75" header="0.3" footer="0.3"/>
  <pageSetup paperSize="9"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E8"/>
  <sheetViews>
    <sheetView zoomScale="94" zoomScaleNormal="94" zoomScaleSheetLayoutView="100" workbookViewId="0">
      <selection activeCell="B5" sqref="B5:C5"/>
    </sheetView>
  </sheetViews>
  <sheetFormatPr defaultColWidth="9" defaultRowHeight="15.75"/>
  <cols>
    <col min="1" max="1" width="42.8984375" style="47" customWidth="1"/>
    <col min="2" max="4" width="17.8984375" style="47" customWidth="1"/>
    <col min="5" max="5" width="23.3984375" style="47" customWidth="1"/>
    <col min="6" max="16384" width="9" style="47"/>
  </cols>
  <sheetData>
    <row r="1" spans="1:5" ht="38.15" customHeight="1">
      <c r="A1" s="321" t="s">
        <v>368</v>
      </c>
      <c r="B1" s="321"/>
      <c r="C1" s="321"/>
      <c r="D1" s="321"/>
      <c r="E1" s="321"/>
    </row>
    <row r="2" spans="1:5" ht="29.95" customHeight="1">
      <c r="A2" s="117" t="str">
        <f>链接表!A5&amp;链接表!B5</f>
        <v>招标人：信宜市旅游投资发展有限公司</v>
      </c>
      <c r="B2" s="117"/>
      <c r="C2" s="117"/>
      <c r="D2" s="117"/>
      <c r="E2" s="117"/>
    </row>
    <row r="3" spans="1:5" ht="41.15" customHeight="1">
      <c r="A3" s="332" t="str">
        <f>链接表!A4&amp;链接表!B4</f>
        <v>项目名称：信宜市绿道二期EPC项目</v>
      </c>
      <c r="B3" s="333"/>
      <c r="C3" s="333"/>
      <c r="D3" s="154" t="s">
        <v>369</v>
      </c>
      <c r="E3" s="154" t="str">
        <f>链接表!B2</f>
        <v>工程施工</v>
      </c>
    </row>
    <row r="4" spans="1:5" ht="46" customHeight="1">
      <c r="A4" s="337" t="s">
        <v>386</v>
      </c>
      <c r="B4" s="339" t="s">
        <v>440</v>
      </c>
      <c r="C4" s="340"/>
      <c r="D4" s="334" t="s">
        <v>441</v>
      </c>
      <c r="E4" s="336"/>
    </row>
    <row r="5" spans="1:5" ht="50.1" customHeight="1">
      <c r="A5" s="338"/>
      <c r="B5" s="341">
        <v>0.97</v>
      </c>
      <c r="C5" s="342"/>
      <c r="D5" s="341">
        <v>0.98</v>
      </c>
      <c r="E5" s="342"/>
    </row>
    <row r="6" spans="1:5" ht="54" customHeight="1">
      <c r="A6" s="48" t="s">
        <v>370</v>
      </c>
      <c r="B6" s="334"/>
      <c r="C6" s="335"/>
      <c r="D6" s="335"/>
      <c r="E6" s="336"/>
    </row>
    <row r="7" spans="1:5" ht="27.25" customHeight="1">
      <c r="A7" s="117" t="s">
        <v>371</v>
      </c>
      <c r="B7" s="117" t="s">
        <v>372</v>
      </c>
      <c r="C7" s="117"/>
      <c r="D7" s="155" t="s">
        <v>373</v>
      </c>
    </row>
    <row r="8" spans="1:5" ht="32.1" customHeight="1">
      <c r="A8" s="47" t="s">
        <v>366</v>
      </c>
    </row>
  </sheetData>
  <mergeCells count="8">
    <mergeCell ref="A1:E1"/>
    <mergeCell ref="A3:C3"/>
    <mergeCell ref="B6:E6"/>
    <mergeCell ref="A4:A5"/>
    <mergeCell ref="D4:E4"/>
    <mergeCell ref="B4:C4"/>
    <mergeCell ref="B5:C5"/>
    <mergeCell ref="D5:E5"/>
  </mergeCells>
  <phoneticPr fontId="110" type="noConversion"/>
  <pageMargins left="0.75" right="0.75" top="1" bottom="1" header="0.51180555555555596" footer="0.51180555555555596"/>
  <pageSetup paperSize="9"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E10"/>
  <sheetViews>
    <sheetView zoomScaleNormal="100" zoomScaleSheetLayoutView="100" workbookViewId="0">
      <selection activeCell="A8" sqref="A8"/>
    </sheetView>
  </sheetViews>
  <sheetFormatPr defaultColWidth="9" defaultRowHeight="15.75"/>
  <cols>
    <col min="1" max="1" width="42.59765625" style="47" customWidth="1"/>
    <col min="2" max="4" width="17.8984375" style="47" customWidth="1"/>
    <col min="5" max="5" width="23.3984375" style="47" customWidth="1"/>
    <col min="6" max="16384" width="9" style="47"/>
  </cols>
  <sheetData>
    <row r="1" spans="1:5" ht="38.15" customHeight="1">
      <c r="A1" s="321" t="s">
        <v>400</v>
      </c>
      <c r="B1" s="321"/>
      <c r="C1" s="321"/>
      <c r="D1" s="321"/>
      <c r="E1" s="321"/>
    </row>
    <row r="2" spans="1:5" ht="29.95" customHeight="1">
      <c r="A2" s="117" t="str">
        <f>链接表!A5&amp;链接表!B5</f>
        <v>招标人：信宜市旅游投资发展有限公司</v>
      </c>
      <c r="B2" s="117"/>
      <c r="C2" s="117"/>
      <c r="D2" s="117"/>
      <c r="E2" s="117"/>
    </row>
    <row r="3" spans="1:5" ht="41.15" customHeight="1">
      <c r="A3" s="332" t="str">
        <f>链接表!A4&amp;链接表!B4</f>
        <v>项目名称：信宜市绿道二期EPC项目</v>
      </c>
      <c r="B3" s="333"/>
      <c r="C3" s="333"/>
      <c r="D3" s="154" t="s">
        <v>369</v>
      </c>
      <c r="E3" s="154" t="str">
        <f>链接表!B2</f>
        <v>工程施工</v>
      </c>
    </row>
    <row r="4" spans="1:5" ht="41.15" customHeight="1">
      <c r="A4" s="337" t="s">
        <v>397</v>
      </c>
      <c r="B4" s="154" t="s">
        <v>401</v>
      </c>
      <c r="C4" s="154" t="s">
        <v>442</v>
      </c>
      <c r="D4" s="154" t="s">
        <v>444</v>
      </c>
      <c r="E4" s="154" t="s">
        <v>443</v>
      </c>
    </row>
    <row r="5" spans="1:5" ht="41.15" customHeight="1">
      <c r="A5" s="343"/>
      <c r="B5" s="201">
        <f>算术平均值!C13</f>
        <v>0.89829999999999999</v>
      </c>
      <c r="C5" s="201">
        <f>K值抽取表!B5</f>
        <v>0.97</v>
      </c>
      <c r="D5" s="201">
        <f>算术平均值!E13</f>
        <v>0.91500000000000004</v>
      </c>
      <c r="E5" s="201">
        <f>K值抽取表!D5</f>
        <v>0.98</v>
      </c>
    </row>
    <row r="6" spans="1:5" ht="46" customHeight="1">
      <c r="A6" s="343"/>
      <c r="B6" s="344" t="s">
        <v>399</v>
      </c>
      <c r="C6" s="344"/>
      <c r="D6" s="345" t="s">
        <v>398</v>
      </c>
      <c r="E6" s="345"/>
    </row>
    <row r="7" spans="1:5" ht="50.1" customHeight="1">
      <c r="A7" s="338"/>
      <c r="B7" s="346">
        <f>B5*C5</f>
        <v>0.87139999999999995</v>
      </c>
      <c r="C7" s="346"/>
      <c r="D7" s="346">
        <f>D5*E5</f>
        <v>0.89670000000000005</v>
      </c>
      <c r="E7" s="346"/>
    </row>
    <row r="8" spans="1:5" ht="54" customHeight="1">
      <c r="A8" s="48" t="s">
        <v>370</v>
      </c>
      <c r="B8" s="334"/>
      <c r="C8" s="335"/>
      <c r="D8" s="335"/>
      <c r="E8" s="336"/>
    </row>
    <row r="9" spans="1:5" ht="27.25" customHeight="1">
      <c r="A9" s="117" t="s">
        <v>371</v>
      </c>
      <c r="B9" s="117" t="s">
        <v>372</v>
      </c>
      <c r="C9" s="117"/>
      <c r="D9" s="155" t="s">
        <v>373</v>
      </c>
    </row>
    <row r="10" spans="1:5" ht="32.1" customHeight="1">
      <c r="A10" s="47" t="s">
        <v>366</v>
      </c>
    </row>
  </sheetData>
  <mergeCells count="8">
    <mergeCell ref="B8:E8"/>
    <mergeCell ref="A4:A7"/>
    <mergeCell ref="A1:E1"/>
    <mergeCell ref="A3:C3"/>
    <mergeCell ref="B6:C6"/>
    <mergeCell ref="D6:E6"/>
    <mergeCell ref="B7:C7"/>
    <mergeCell ref="D7:E7"/>
  </mergeCells>
  <phoneticPr fontId="113" type="noConversion"/>
  <printOptions horizontalCentered="1"/>
  <pageMargins left="0.6692913385826772" right="0.74803149606299213" top="0.98425196850393704" bottom="0.98425196850393704" header="0.51181102362204722" footer="0.51181102362204722"/>
  <pageSetup paperSize="9"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G14"/>
  <sheetViews>
    <sheetView zoomScaleNormal="100" zoomScaleSheetLayoutView="85" workbookViewId="0">
      <selection activeCell="F16" sqref="F16"/>
    </sheetView>
  </sheetViews>
  <sheetFormatPr defaultColWidth="9" defaultRowHeight="15.75"/>
  <cols>
    <col min="1" max="1" width="5" style="47" customWidth="1"/>
    <col min="2" max="2" width="41.8984375" style="47" customWidth="1"/>
    <col min="3" max="3" width="10.19921875" style="47" customWidth="1"/>
    <col min="4" max="4" width="12.3984375" style="183" customWidth="1"/>
    <col min="5" max="5" width="23.19921875" style="47" customWidth="1"/>
    <col min="6" max="6" width="17.09765625" style="182" customWidth="1"/>
    <col min="7" max="7" width="19.296875" style="47" customWidth="1"/>
    <col min="8" max="8" width="12.5" style="47" customWidth="1"/>
    <col min="9" max="9" width="9" style="47"/>
    <col min="10" max="10" width="17" style="47" customWidth="1"/>
    <col min="11" max="12" width="9" style="47"/>
    <col min="13" max="13" width="17.8984375" style="47" customWidth="1"/>
    <col min="14" max="16384" width="9" style="47"/>
  </cols>
  <sheetData>
    <row r="1" spans="1:7" ht="29.95" customHeight="1">
      <c r="A1" s="287" t="str">
        <f>链接表!B4&amp;"投标报价得分(F1)计算表"</f>
        <v>信宜市绿道二期EPC项目投标报价得分(F1)计算表</v>
      </c>
      <c r="B1" s="287"/>
      <c r="C1" s="287"/>
      <c r="D1" s="288"/>
      <c r="E1" s="287"/>
      <c r="F1" s="289"/>
    </row>
    <row r="2" spans="1:7" ht="21.95" customHeight="1">
      <c r="A2" s="290" t="str">
        <f>链接表!A5&amp;链接表!B5</f>
        <v>招标人：信宜市旅游投资发展有限公司</v>
      </c>
      <c r="B2" s="290"/>
      <c r="C2" s="290"/>
      <c r="D2" s="147"/>
      <c r="E2" s="148"/>
      <c r="F2" s="47"/>
    </row>
    <row r="3" spans="1:7" ht="21.95" customHeight="1">
      <c r="A3" s="290" t="str">
        <f>链接表!A6&amp;链接表!B6</f>
        <v>招标代理：深圳群伦项目管理有限公司</v>
      </c>
      <c r="B3" s="290"/>
      <c r="C3" s="290"/>
      <c r="D3" s="149"/>
      <c r="E3" s="150"/>
      <c r="F3" s="47"/>
    </row>
    <row r="4" spans="1:7" s="170" customFormat="1" ht="62.2" customHeight="1">
      <c r="A4" s="167" t="s">
        <v>26</v>
      </c>
      <c r="B4" s="167" t="s">
        <v>27</v>
      </c>
      <c r="C4" s="168" t="s">
        <v>405</v>
      </c>
      <c r="D4" s="167" t="s">
        <v>402</v>
      </c>
      <c r="E4" s="167" t="s">
        <v>406</v>
      </c>
      <c r="F4" s="169" t="s">
        <v>407</v>
      </c>
      <c r="G4" s="169" t="s">
        <v>412</v>
      </c>
    </row>
    <row r="5" spans="1:7" s="173" customFormat="1" ht="35.700000000000003" customHeight="1">
      <c r="A5" s="167">
        <v>1</v>
      </c>
      <c r="B5" s="171" t="str">
        <f>算术平均值!B5</f>
        <v>广东省001某某工程股份有限公司</v>
      </c>
      <c r="C5" s="172">
        <f>算术平均值!C5</f>
        <v>0.9</v>
      </c>
      <c r="D5" s="347">
        <f>评标基准值!B7</f>
        <v>0.87139999999999995</v>
      </c>
      <c r="E5" s="167">
        <f>IF(C5&gt;$D$5,31,30)</f>
        <v>31</v>
      </c>
      <c r="F5" s="169">
        <f>100-ABS(C5-$D$5)*100/E5</f>
        <v>99.91</v>
      </c>
      <c r="G5" s="169">
        <f>F5*10%</f>
        <v>9.99</v>
      </c>
    </row>
    <row r="6" spans="1:7" s="173" customFormat="1" ht="35.700000000000003" customHeight="1">
      <c r="A6" s="167">
        <v>2</v>
      </c>
      <c r="B6" s="171" t="str">
        <f>算术平均值!B6</f>
        <v>广东省002某某工程股份有限公司</v>
      </c>
      <c r="C6" s="172">
        <f>算术平均值!C6</f>
        <v>0.88</v>
      </c>
      <c r="D6" s="347"/>
      <c r="E6" s="167">
        <f t="shared" ref="E6:E10" si="0">IF(C6&gt;$D$5,31,30)</f>
        <v>31</v>
      </c>
      <c r="F6" s="169">
        <f t="shared" ref="F6:F10" si="1">100-ABS(C6-$D$5)*100/E6</f>
        <v>99.97</v>
      </c>
      <c r="G6" s="169">
        <f t="shared" ref="G6:G10" si="2">F6*10%</f>
        <v>10</v>
      </c>
    </row>
    <row r="7" spans="1:7" s="173" customFormat="1" ht="35.700000000000003" customHeight="1">
      <c r="A7" s="167">
        <v>3</v>
      </c>
      <c r="B7" s="171" t="str">
        <f>算术平均值!B7</f>
        <v>广东省003某某工程股份有限公司</v>
      </c>
      <c r="C7" s="172">
        <f>算术平均值!C7</f>
        <v>0.89</v>
      </c>
      <c r="D7" s="347"/>
      <c r="E7" s="167">
        <f t="shared" si="0"/>
        <v>31</v>
      </c>
      <c r="F7" s="169">
        <f t="shared" si="1"/>
        <v>99.94</v>
      </c>
      <c r="G7" s="169">
        <f t="shared" si="2"/>
        <v>9.99</v>
      </c>
    </row>
    <row r="8" spans="1:7" s="173" customFormat="1" ht="35.700000000000003" customHeight="1">
      <c r="A8" s="167">
        <v>4</v>
      </c>
      <c r="B8" s="171" t="str">
        <f>算术平均值!B8</f>
        <v>广东省004某某工程股份有限公司</v>
      </c>
      <c r="C8" s="172">
        <f>算术平均值!C8</f>
        <v>0.91</v>
      </c>
      <c r="D8" s="347"/>
      <c r="E8" s="167">
        <f t="shared" si="0"/>
        <v>31</v>
      </c>
      <c r="F8" s="169">
        <f t="shared" si="1"/>
        <v>99.88</v>
      </c>
      <c r="G8" s="169">
        <f t="shared" si="2"/>
        <v>9.99</v>
      </c>
    </row>
    <row r="9" spans="1:7" s="173" customFormat="1" ht="35.700000000000003" customHeight="1">
      <c r="A9" s="167">
        <v>5</v>
      </c>
      <c r="B9" s="171" t="str">
        <f>算术平均值!B9</f>
        <v>广东省005某某工程股份有限公司</v>
      </c>
      <c r="C9" s="172">
        <f>算术平均值!C9</f>
        <v>0.92</v>
      </c>
      <c r="D9" s="347"/>
      <c r="E9" s="167">
        <f t="shared" si="0"/>
        <v>31</v>
      </c>
      <c r="F9" s="169">
        <f t="shared" si="1"/>
        <v>99.84</v>
      </c>
      <c r="G9" s="169">
        <f t="shared" si="2"/>
        <v>9.98</v>
      </c>
    </row>
    <row r="10" spans="1:7" s="173" customFormat="1" ht="35.700000000000003" customHeight="1">
      <c r="A10" s="167">
        <v>6</v>
      </c>
      <c r="B10" s="171" t="str">
        <f>算术平均值!B10</f>
        <v>广东省006某某工程股份有限公司</v>
      </c>
      <c r="C10" s="172">
        <f>算术平均值!C10</f>
        <v>0.89</v>
      </c>
      <c r="D10" s="347"/>
      <c r="E10" s="167">
        <f t="shared" si="0"/>
        <v>31</v>
      </c>
      <c r="F10" s="169">
        <f t="shared" si="1"/>
        <v>99.94</v>
      </c>
      <c r="G10" s="169">
        <f t="shared" si="2"/>
        <v>9.99</v>
      </c>
    </row>
    <row r="11" spans="1:7" s="180" customFormat="1" ht="20.3" customHeight="1">
      <c r="A11" s="174"/>
      <c r="B11" s="175"/>
      <c r="C11" s="176"/>
      <c r="D11" s="177"/>
      <c r="E11" s="178"/>
      <c r="F11" s="179"/>
    </row>
    <row r="12" spans="1:7" ht="18" customHeight="1">
      <c r="A12" s="291" t="s">
        <v>387</v>
      </c>
      <c r="B12" s="291"/>
      <c r="C12" s="291"/>
      <c r="D12" s="292"/>
      <c r="E12" s="291"/>
      <c r="F12" s="293"/>
    </row>
    <row r="13" spans="1:7" ht="16.5" customHeight="1">
      <c r="A13" s="166"/>
      <c r="B13" s="166"/>
      <c r="C13" s="166"/>
      <c r="D13" s="181"/>
    </row>
    <row r="14" spans="1:7" ht="18" customHeight="1">
      <c r="A14" s="294" t="s">
        <v>115</v>
      </c>
      <c r="B14" s="294"/>
      <c r="C14" s="294"/>
      <c r="D14" s="295"/>
    </row>
  </sheetData>
  <mergeCells count="6">
    <mergeCell ref="A14:D14"/>
    <mergeCell ref="A1:F1"/>
    <mergeCell ref="A2:C2"/>
    <mergeCell ref="A3:C3"/>
    <mergeCell ref="D5:D10"/>
    <mergeCell ref="A12:F12"/>
  </mergeCells>
  <phoneticPr fontId="110" type="noConversion"/>
  <printOptions horizontalCentered="1"/>
  <pageMargins left="0.39305555555555599" right="0.39305555555555599" top="1.18055555555556" bottom="0.78680555555555598" header="1.1013888888888901" footer="0.51180555555555596"/>
  <pageSetup scale="94" orientation="landscape" horizontalDpi="200" verticalDpi="200" r:id="rId1"/>
  <headerFooter scaleWithDoc="0"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G14"/>
  <sheetViews>
    <sheetView zoomScaleNormal="100" workbookViewId="0">
      <selection activeCell="G5" sqref="G5"/>
    </sheetView>
  </sheetViews>
  <sheetFormatPr defaultColWidth="9" defaultRowHeight="15.75"/>
  <cols>
    <col min="1" max="1" width="5" style="47" customWidth="1"/>
    <col min="2" max="2" width="37.59765625" style="47" customWidth="1"/>
    <col min="3" max="3" width="10.19921875" style="47" customWidth="1"/>
    <col min="4" max="4" width="12.3984375" style="183" customWidth="1"/>
    <col min="5" max="5" width="23.19921875" style="47" customWidth="1"/>
    <col min="6" max="6" width="17.09765625" style="182" customWidth="1"/>
    <col min="7" max="7" width="18.8984375" style="47" customWidth="1"/>
    <col min="8" max="8" width="12.5" style="47" customWidth="1"/>
    <col min="9" max="9" width="9" style="47"/>
    <col min="10" max="10" width="17" style="47" customWidth="1"/>
    <col min="11" max="12" width="9" style="47"/>
    <col min="13" max="13" width="17.8984375" style="47" customWidth="1"/>
    <col min="14" max="16384" width="9" style="47"/>
  </cols>
  <sheetData>
    <row r="1" spans="1:7" ht="29.95" customHeight="1">
      <c r="A1" s="287" t="str">
        <f>链接表!B4&amp;"投标报价得分(F2)计算表"</f>
        <v>信宜市绿道二期EPC项目投标报价得分(F2)计算表</v>
      </c>
      <c r="B1" s="287"/>
      <c r="C1" s="287"/>
      <c r="D1" s="288"/>
      <c r="E1" s="287"/>
      <c r="F1" s="289"/>
    </row>
    <row r="2" spans="1:7" ht="21.95" customHeight="1">
      <c r="A2" s="290" t="str">
        <f>链接表!A5&amp;链接表!B5</f>
        <v>招标人：信宜市旅游投资发展有限公司</v>
      </c>
      <c r="B2" s="290"/>
      <c r="C2" s="290"/>
      <c r="D2" s="147"/>
      <c r="E2" s="148"/>
      <c r="F2" s="47"/>
    </row>
    <row r="3" spans="1:7" ht="21.95" customHeight="1">
      <c r="A3" s="290" t="str">
        <f>链接表!A6&amp;链接表!B6</f>
        <v>招标代理：深圳群伦项目管理有限公司</v>
      </c>
      <c r="B3" s="290"/>
      <c r="C3" s="290"/>
      <c r="D3" s="149"/>
      <c r="E3" s="150"/>
      <c r="F3" s="47"/>
    </row>
    <row r="4" spans="1:7" s="170" customFormat="1" ht="62.2" customHeight="1">
      <c r="A4" s="167" t="s">
        <v>26</v>
      </c>
      <c r="B4" s="167" t="s">
        <v>27</v>
      </c>
      <c r="C4" s="168" t="s">
        <v>408</v>
      </c>
      <c r="D4" s="167" t="s">
        <v>409</v>
      </c>
      <c r="E4" s="167" t="s">
        <v>410</v>
      </c>
      <c r="F4" s="169" t="s">
        <v>411</v>
      </c>
      <c r="G4" s="169" t="s">
        <v>413</v>
      </c>
    </row>
    <row r="5" spans="1:7" s="173" customFormat="1" ht="35.700000000000003" customHeight="1">
      <c r="A5" s="167">
        <v>1</v>
      </c>
      <c r="B5" s="171" t="str">
        <f>算术平均值!B5</f>
        <v>广东省001某某工程股份有限公司</v>
      </c>
      <c r="C5" s="172">
        <f>算术平均值!E5</f>
        <v>0.94</v>
      </c>
      <c r="D5" s="347">
        <f>评标基准值!D7</f>
        <v>0.89670000000000005</v>
      </c>
      <c r="E5" s="167">
        <f>IF(C5&gt;$D$5,31,30)</f>
        <v>31</v>
      </c>
      <c r="F5" s="169">
        <f>100-ABS(C5-$D$5)*100/E5</f>
        <v>99.86</v>
      </c>
      <c r="G5" s="169">
        <f>F5*50%</f>
        <v>49.93</v>
      </c>
    </row>
    <row r="6" spans="1:7" s="173" customFormat="1" ht="35.700000000000003" customHeight="1">
      <c r="A6" s="167">
        <v>2</v>
      </c>
      <c r="B6" s="171" t="str">
        <f>算术平均值!B6</f>
        <v>广东省002某某工程股份有限公司</v>
      </c>
      <c r="C6" s="172">
        <f>算术平均值!E6</f>
        <v>0.93</v>
      </c>
      <c r="D6" s="347"/>
      <c r="E6" s="167">
        <f t="shared" ref="E6:E10" si="0">IF(C6&gt;$D$5,31,30)</f>
        <v>31</v>
      </c>
      <c r="F6" s="169">
        <f t="shared" ref="F6:F10" si="1">100-ABS(C6-$D$5)*100/E6</f>
        <v>99.89</v>
      </c>
      <c r="G6" s="169">
        <f t="shared" ref="G6:G10" si="2">F6*50%</f>
        <v>49.95</v>
      </c>
    </row>
    <row r="7" spans="1:7" s="173" customFormat="1" ht="35.700000000000003" customHeight="1">
      <c r="A7" s="167">
        <v>3</v>
      </c>
      <c r="B7" s="171" t="str">
        <f>算术平均值!B7</f>
        <v>广东省003某某工程股份有限公司</v>
      </c>
      <c r="C7" s="172">
        <f>算术平均值!E7</f>
        <v>0.92</v>
      </c>
      <c r="D7" s="347"/>
      <c r="E7" s="167">
        <f t="shared" si="0"/>
        <v>31</v>
      </c>
      <c r="F7" s="169">
        <f t="shared" si="1"/>
        <v>99.92</v>
      </c>
      <c r="G7" s="169">
        <f t="shared" si="2"/>
        <v>49.96</v>
      </c>
    </row>
    <row r="8" spans="1:7" s="173" customFormat="1" ht="35.700000000000003" customHeight="1">
      <c r="A8" s="167">
        <v>4</v>
      </c>
      <c r="B8" s="171" t="str">
        <f>算术平均值!B8</f>
        <v>广东省004某某工程股份有限公司</v>
      </c>
      <c r="C8" s="172">
        <f>算术平均值!E8</f>
        <v>0.91</v>
      </c>
      <c r="D8" s="347"/>
      <c r="E8" s="167">
        <f t="shared" si="0"/>
        <v>31</v>
      </c>
      <c r="F8" s="169">
        <f t="shared" si="1"/>
        <v>99.96</v>
      </c>
      <c r="G8" s="169">
        <f t="shared" si="2"/>
        <v>49.98</v>
      </c>
    </row>
    <row r="9" spans="1:7" s="173" customFormat="1" ht="35.700000000000003" customHeight="1">
      <c r="A9" s="167">
        <v>5</v>
      </c>
      <c r="B9" s="171" t="str">
        <f>算术平均值!B9</f>
        <v>广东省005某某工程股份有限公司</v>
      </c>
      <c r="C9" s="172">
        <f>算术平均值!E9</f>
        <v>0.9</v>
      </c>
      <c r="D9" s="347"/>
      <c r="E9" s="167">
        <f t="shared" si="0"/>
        <v>31</v>
      </c>
      <c r="F9" s="169">
        <f t="shared" si="1"/>
        <v>99.99</v>
      </c>
      <c r="G9" s="169">
        <f t="shared" si="2"/>
        <v>50</v>
      </c>
    </row>
    <row r="10" spans="1:7" s="173" customFormat="1" ht="35.700000000000003" customHeight="1">
      <c r="A10" s="167">
        <v>6</v>
      </c>
      <c r="B10" s="171" t="str">
        <f>算术平均值!B10</f>
        <v>广东省006某某工程股份有限公司</v>
      </c>
      <c r="C10" s="172">
        <f>算术平均值!E10</f>
        <v>0.89</v>
      </c>
      <c r="D10" s="347"/>
      <c r="E10" s="167">
        <f t="shared" si="0"/>
        <v>30</v>
      </c>
      <c r="F10" s="169">
        <f t="shared" si="1"/>
        <v>99.98</v>
      </c>
      <c r="G10" s="169">
        <f t="shared" si="2"/>
        <v>49.99</v>
      </c>
    </row>
    <row r="11" spans="1:7" s="180" customFormat="1" ht="20.3" customHeight="1">
      <c r="A11" s="174"/>
      <c r="B11" s="175"/>
      <c r="C11" s="176"/>
      <c r="D11" s="177"/>
      <c r="E11" s="178"/>
      <c r="F11" s="179"/>
    </row>
    <row r="12" spans="1:7" ht="18" customHeight="1">
      <c r="A12" s="291" t="s">
        <v>387</v>
      </c>
      <c r="B12" s="291"/>
      <c r="C12" s="291"/>
      <c r="D12" s="292"/>
      <c r="E12" s="291"/>
      <c r="F12" s="293"/>
    </row>
    <row r="13" spans="1:7" ht="16.5" customHeight="1">
      <c r="A13" s="166"/>
      <c r="B13" s="166"/>
      <c r="C13" s="166"/>
      <c r="D13" s="181"/>
    </row>
    <row r="14" spans="1:7" ht="18" customHeight="1">
      <c r="A14" s="294" t="s">
        <v>115</v>
      </c>
      <c r="B14" s="294"/>
      <c r="C14" s="294"/>
      <c r="D14" s="295"/>
    </row>
  </sheetData>
  <mergeCells count="6">
    <mergeCell ref="A14:D14"/>
    <mergeCell ref="A1:F1"/>
    <mergeCell ref="A2:C2"/>
    <mergeCell ref="A3:C3"/>
    <mergeCell ref="D5:D10"/>
    <mergeCell ref="A12:F12"/>
  </mergeCells>
  <phoneticPr fontId="110" type="noConversion"/>
  <printOptions horizontalCentered="1"/>
  <pageMargins left="0.39305555555555599" right="0.39305555555555599" top="1.18055555555556" bottom="0.78680555555555598" header="1.1013888888888901" footer="0.51180555555555596"/>
  <pageSetup scale="98" orientation="landscape" horizontalDpi="200" verticalDpi="200" r:id="rId1"/>
  <headerFooter scaleWithDoc="0"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00B050"/>
  </sheetPr>
  <dimension ref="A1:E14"/>
  <sheetViews>
    <sheetView zoomScaleNormal="100" workbookViewId="0">
      <selection activeCell="D10" sqref="D10"/>
    </sheetView>
  </sheetViews>
  <sheetFormatPr defaultColWidth="9" defaultRowHeight="15.75"/>
  <cols>
    <col min="1" max="1" width="5" style="47" customWidth="1"/>
    <col min="2" max="2" width="37.59765625" style="47" customWidth="1"/>
    <col min="3" max="4" width="22" style="47" customWidth="1"/>
    <col min="5" max="5" width="28.59765625" style="47" customWidth="1"/>
    <col min="6" max="6" width="9" style="47"/>
    <col min="7" max="7" width="17" style="47" customWidth="1"/>
    <col min="8" max="9" width="9" style="47"/>
    <col min="10" max="10" width="17.8984375" style="47" customWidth="1"/>
    <col min="11" max="16384" width="9" style="47"/>
  </cols>
  <sheetData>
    <row r="1" spans="1:5" ht="29.95" customHeight="1">
      <c r="A1" s="287" t="str">
        <f>链接表!B4&amp;"投标报价得分(F2)计算表"</f>
        <v>信宜市绿道二期EPC项目投标报价得分(F2)计算表</v>
      </c>
      <c r="B1" s="287"/>
      <c r="C1" s="287"/>
      <c r="D1" s="287"/>
      <c r="E1" s="287"/>
    </row>
    <row r="2" spans="1:5" ht="21.95" customHeight="1">
      <c r="A2" s="290" t="str">
        <f>链接表!A5&amp;链接表!B5</f>
        <v>招标人：信宜市旅游投资发展有限公司</v>
      </c>
      <c r="B2" s="290"/>
    </row>
    <row r="3" spans="1:5" ht="21.95" customHeight="1">
      <c r="A3" s="290" t="str">
        <f>链接表!A6&amp;链接表!B6</f>
        <v>招标代理：深圳群伦项目管理有限公司</v>
      </c>
      <c r="B3" s="290"/>
    </row>
    <row r="4" spans="1:5" s="170" customFormat="1" ht="62.2" customHeight="1">
      <c r="A4" s="167" t="s">
        <v>26</v>
      </c>
      <c r="B4" s="167" t="s">
        <v>27</v>
      </c>
      <c r="C4" s="169" t="s">
        <v>414</v>
      </c>
      <c r="D4" s="169" t="s">
        <v>415</v>
      </c>
      <c r="E4" s="169" t="s">
        <v>416</v>
      </c>
    </row>
    <row r="5" spans="1:5" s="173" customFormat="1" ht="35.700000000000003" customHeight="1">
      <c r="A5" s="167">
        <v>1</v>
      </c>
      <c r="B5" s="171" t="str">
        <f>算术平均值!B5</f>
        <v>广东省001某某工程股份有限公司</v>
      </c>
      <c r="C5" s="169">
        <f>投标报价得分F1计算表!G5</f>
        <v>9.99</v>
      </c>
      <c r="D5" s="169">
        <f>投标报价得分F2计算表!G5</f>
        <v>49.93</v>
      </c>
      <c r="E5" s="169">
        <f>C5+D5</f>
        <v>59.92</v>
      </c>
    </row>
    <row r="6" spans="1:5" s="173" customFormat="1" ht="35.700000000000003" customHeight="1">
      <c r="A6" s="167">
        <v>2</v>
      </c>
      <c r="B6" s="171" t="str">
        <f>算术平均值!B6</f>
        <v>广东省002某某工程股份有限公司</v>
      </c>
      <c r="C6" s="169">
        <f>投标报价得分F1计算表!G6</f>
        <v>10</v>
      </c>
      <c r="D6" s="169">
        <f>投标报价得分F2计算表!G6</f>
        <v>49.95</v>
      </c>
      <c r="E6" s="169">
        <f t="shared" ref="E6:E10" si="0">C6+D6</f>
        <v>59.95</v>
      </c>
    </row>
    <row r="7" spans="1:5" s="173" customFormat="1" ht="35.700000000000003" customHeight="1">
      <c r="A7" s="167">
        <v>3</v>
      </c>
      <c r="B7" s="171" t="str">
        <f>算术平均值!B7</f>
        <v>广东省003某某工程股份有限公司</v>
      </c>
      <c r="C7" s="169">
        <f>投标报价得分F1计算表!G7</f>
        <v>9.99</v>
      </c>
      <c r="D7" s="169">
        <f>投标报价得分F2计算表!G7</f>
        <v>49.96</v>
      </c>
      <c r="E7" s="169">
        <f t="shared" si="0"/>
        <v>59.95</v>
      </c>
    </row>
    <row r="8" spans="1:5" s="173" customFormat="1" ht="35.700000000000003" customHeight="1">
      <c r="A8" s="167">
        <v>4</v>
      </c>
      <c r="B8" s="171" t="str">
        <f>算术平均值!B8</f>
        <v>广东省004某某工程股份有限公司</v>
      </c>
      <c r="C8" s="169">
        <f>投标报价得分F1计算表!G8</f>
        <v>9.99</v>
      </c>
      <c r="D8" s="169">
        <f>投标报价得分F2计算表!G8</f>
        <v>49.98</v>
      </c>
      <c r="E8" s="169">
        <f t="shared" si="0"/>
        <v>59.97</v>
      </c>
    </row>
    <row r="9" spans="1:5" s="173" customFormat="1" ht="35.700000000000003" customHeight="1">
      <c r="A9" s="167">
        <v>5</v>
      </c>
      <c r="B9" s="171" t="str">
        <f>算术平均值!B9</f>
        <v>广东省005某某工程股份有限公司</v>
      </c>
      <c r="C9" s="169">
        <f>投标报价得分F1计算表!G9</f>
        <v>9.98</v>
      </c>
      <c r="D9" s="169">
        <f>投标报价得分F2计算表!G9</f>
        <v>50</v>
      </c>
      <c r="E9" s="169">
        <f t="shared" si="0"/>
        <v>59.98</v>
      </c>
    </row>
    <row r="10" spans="1:5" s="173" customFormat="1" ht="35.700000000000003" customHeight="1">
      <c r="A10" s="167">
        <v>6</v>
      </c>
      <c r="B10" s="171" t="str">
        <f>算术平均值!B10</f>
        <v>广东省006某某工程股份有限公司</v>
      </c>
      <c r="C10" s="169">
        <f>投标报价得分F1计算表!G10</f>
        <v>9.99</v>
      </c>
      <c r="D10" s="169">
        <f>投标报价得分F2计算表!G10</f>
        <v>49.99</v>
      </c>
      <c r="E10" s="169">
        <f t="shared" si="0"/>
        <v>59.98</v>
      </c>
    </row>
    <row r="11" spans="1:5" s="180" customFormat="1" ht="20.3" customHeight="1">
      <c r="A11" s="174"/>
      <c r="B11" s="175"/>
    </row>
    <row r="12" spans="1:5" ht="18" customHeight="1">
      <c r="A12" s="291" t="s">
        <v>387</v>
      </c>
      <c r="B12" s="291"/>
      <c r="C12" s="293"/>
    </row>
    <row r="13" spans="1:5" ht="16.5" customHeight="1">
      <c r="A13" s="166"/>
      <c r="B13" s="166"/>
    </row>
    <row r="14" spans="1:5" ht="18" customHeight="1">
      <c r="A14" s="294" t="s">
        <v>115</v>
      </c>
      <c r="B14" s="294"/>
    </row>
  </sheetData>
  <mergeCells count="5">
    <mergeCell ref="A2:B2"/>
    <mergeCell ref="A3:B3"/>
    <mergeCell ref="A12:C12"/>
    <mergeCell ref="A14:B14"/>
    <mergeCell ref="A1:E1"/>
  </mergeCells>
  <phoneticPr fontId="110" type="noConversion"/>
  <printOptions horizontalCentered="1"/>
  <pageMargins left="0.39305555555555599" right="0.39305555555555599" top="1.18055555555556" bottom="0.78680555555555598" header="1.1013888888888901" footer="0.51180555555555596"/>
  <pageSetup orientation="landscape" horizontalDpi="200" verticalDpi="200" r:id="rId1"/>
  <headerFooter scaleWithDoc="0"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00B050"/>
  </sheetPr>
  <dimension ref="A1:K15"/>
  <sheetViews>
    <sheetView zoomScaleNormal="100" zoomScaleSheetLayoutView="100" workbookViewId="0">
      <selection activeCell="G11" sqref="G11"/>
    </sheetView>
  </sheetViews>
  <sheetFormatPr defaultColWidth="9" defaultRowHeight="15.75"/>
  <cols>
    <col min="1" max="1" width="6.3984375" style="128" customWidth="1"/>
    <col min="2" max="2" width="36.59765625" style="47" customWidth="1"/>
    <col min="3" max="3" width="18.19921875" style="47" customWidth="1"/>
    <col min="4" max="4" width="17.8984375" style="47" customWidth="1"/>
    <col min="5" max="5" width="16.3984375" style="47" customWidth="1"/>
    <col min="6" max="6" width="26" style="47" customWidth="1"/>
    <col min="7" max="16384" width="9" style="47"/>
  </cols>
  <sheetData>
    <row r="1" spans="1:11" ht="29.05" customHeight="1">
      <c r="A1" s="348" t="str">
        <f>链接表!B4&amp;"综合得分汇总表"</f>
        <v>信宜市绿道二期EPC项目综合得分汇总表</v>
      </c>
      <c r="B1" s="348"/>
      <c r="C1" s="348"/>
      <c r="D1" s="348"/>
      <c r="E1" s="348"/>
      <c r="F1" s="348"/>
    </row>
    <row r="2" spans="1:11" ht="21.95" customHeight="1">
      <c r="A2" s="290" t="str">
        <f>链接表!A5&amp;链接表!B5</f>
        <v>招标人：信宜市旅游投资发展有限公司</v>
      </c>
      <c r="B2" s="290"/>
      <c r="C2" s="290"/>
      <c r="D2" s="147"/>
      <c r="E2" s="148"/>
    </row>
    <row r="3" spans="1:11" ht="21.95" customHeight="1">
      <c r="A3" s="290" t="str">
        <f>链接表!A6&amp;链接表!B6</f>
        <v>招标代理：深圳群伦项目管理有限公司</v>
      </c>
      <c r="B3" s="290"/>
      <c r="C3" s="290"/>
      <c r="D3" s="149"/>
      <c r="E3" s="150"/>
    </row>
    <row r="4" spans="1:11" s="129" customFormat="1" ht="21.05" customHeight="1">
      <c r="A4" s="349" t="s">
        <v>26</v>
      </c>
      <c r="B4" s="349" t="s">
        <v>27</v>
      </c>
      <c r="C4" s="349" t="s">
        <v>388</v>
      </c>
      <c r="D4" s="350" t="s">
        <v>389</v>
      </c>
      <c r="E4" s="352" t="s">
        <v>390</v>
      </c>
      <c r="F4" s="352" t="s">
        <v>419</v>
      </c>
    </row>
    <row r="5" spans="1:11" s="184" customFormat="1" ht="33" customHeight="1">
      <c r="A5" s="349"/>
      <c r="B5" s="349"/>
      <c r="C5" s="349"/>
      <c r="D5" s="351"/>
      <c r="E5" s="353"/>
      <c r="F5" s="353"/>
    </row>
    <row r="6" spans="1:11" ht="37.700000000000003" customHeight="1">
      <c r="A6" s="185">
        <v>1</v>
      </c>
      <c r="B6" s="171" t="str">
        <f>链接表!B35</f>
        <v>广东省001某某工程股份有限公司</v>
      </c>
      <c r="C6" s="215">
        <f>VLOOKUP(B6,商务评分汇总表!B5:G10,2,FALSE)</f>
        <v>20.5</v>
      </c>
      <c r="D6" s="186">
        <f>VLOOKUP(B6,技术投标文件编号对应表!$C$5:$D$10,2,FALSE)</f>
        <v>1</v>
      </c>
      <c r="E6" s="187">
        <f>报价得分合计!E5</f>
        <v>59.92</v>
      </c>
      <c r="F6" s="188">
        <f>C6+D6+E6</f>
        <v>81.42</v>
      </c>
    </row>
    <row r="7" spans="1:11" ht="37.700000000000003" customHeight="1">
      <c r="A7" s="185">
        <v>2</v>
      </c>
      <c r="B7" s="171" t="str">
        <f>链接表!B36</f>
        <v>广东省002某某工程股份有限公司</v>
      </c>
      <c r="C7" s="215">
        <f>VLOOKUP(B7,商务评分汇总表!B6:G11,2,FALSE)</f>
        <v>30.5</v>
      </c>
      <c r="D7" s="186">
        <f>VLOOKUP(B7,技术投标文件编号对应表!$C$5:$D$10,2,FALSE)</f>
        <v>1.33</v>
      </c>
      <c r="E7" s="187">
        <f>报价得分合计!E6</f>
        <v>59.95</v>
      </c>
      <c r="F7" s="188">
        <f t="shared" ref="F7:F11" si="0">C7+D7+E7</f>
        <v>91.78</v>
      </c>
    </row>
    <row r="8" spans="1:11" ht="37.700000000000003" customHeight="1">
      <c r="A8" s="185">
        <v>3</v>
      </c>
      <c r="B8" s="171" t="str">
        <f>链接表!B37</f>
        <v>广东省003某某工程股份有限公司</v>
      </c>
      <c r="C8" s="215">
        <f>VLOOKUP(B8,商务评分汇总表!B7:G12,2,FALSE)</f>
        <v>10.5</v>
      </c>
      <c r="D8" s="186">
        <f>VLOOKUP(B8,技术投标文件编号对应表!$C$5:$D$10,2,FALSE)</f>
        <v>1.67</v>
      </c>
      <c r="E8" s="187">
        <f>报价得分合计!E7</f>
        <v>59.95</v>
      </c>
      <c r="F8" s="188">
        <f t="shared" si="0"/>
        <v>72.12</v>
      </c>
    </row>
    <row r="9" spans="1:11" ht="37.700000000000003" customHeight="1">
      <c r="A9" s="185">
        <v>4</v>
      </c>
      <c r="B9" s="171" t="str">
        <f>链接表!B38</f>
        <v>广东省004某某工程股份有限公司</v>
      </c>
      <c r="C9" s="215">
        <f>VLOOKUP(B9,商务评分汇总表!B8:G13,2,FALSE)</f>
        <v>5.5</v>
      </c>
      <c r="D9" s="186">
        <f>VLOOKUP(B9,技术投标文件编号对应表!$C$5:$D$10,2,FALSE)</f>
        <v>2</v>
      </c>
      <c r="E9" s="187">
        <f>报价得分合计!E8</f>
        <v>59.97</v>
      </c>
      <c r="F9" s="188">
        <f t="shared" si="0"/>
        <v>67.47</v>
      </c>
    </row>
    <row r="10" spans="1:11" ht="37.700000000000003" customHeight="1">
      <c r="A10" s="185">
        <v>5</v>
      </c>
      <c r="B10" s="171" t="str">
        <f>链接表!B39</f>
        <v>广东省005某某工程股份有限公司</v>
      </c>
      <c r="C10" s="215">
        <f>VLOOKUP(B10,商务评分汇总表!B9:G14,2,FALSE)</f>
        <v>10</v>
      </c>
      <c r="D10" s="186">
        <f>VLOOKUP(B10,技术投标文件编号对应表!$C$5:$D$10,2,FALSE)</f>
        <v>2.33</v>
      </c>
      <c r="E10" s="187">
        <f>报价得分合计!E9</f>
        <v>59.98</v>
      </c>
      <c r="F10" s="188">
        <f t="shared" si="0"/>
        <v>72.31</v>
      </c>
    </row>
    <row r="11" spans="1:11" ht="37.700000000000003" customHeight="1">
      <c r="A11" s="185">
        <v>6</v>
      </c>
      <c r="B11" s="171" t="str">
        <f>链接表!B40</f>
        <v>广东省006某某工程股份有限公司</v>
      </c>
      <c r="C11" s="215">
        <f>VLOOKUP(B11,商务评分汇总表!B10:G15,2,FALSE)</f>
        <v>11</v>
      </c>
      <c r="D11" s="186">
        <f>VLOOKUP(B11,技术投标文件编号对应表!$C$5:$D$10,2,FALSE)</f>
        <v>1.67</v>
      </c>
      <c r="E11" s="187">
        <f>报价得分合计!E10</f>
        <v>59.98</v>
      </c>
      <c r="F11" s="188">
        <f t="shared" si="0"/>
        <v>72.650000000000006</v>
      </c>
    </row>
    <row r="12" spans="1:11" s="191" customFormat="1" ht="37.700000000000003" customHeight="1">
      <c r="A12" s="189"/>
      <c r="B12" s="189"/>
      <c r="C12" s="190"/>
      <c r="D12" s="190"/>
      <c r="E12" s="190"/>
    </row>
    <row r="13" spans="1:11" s="191" customFormat="1" ht="25" customHeight="1">
      <c r="A13" s="291" t="s">
        <v>391</v>
      </c>
      <c r="B13" s="291"/>
      <c r="C13" s="291"/>
      <c r="D13" s="291"/>
      <c r="E13" s="291"/>
      <c r="F13" s="291"/>
      <c r="G13" s="192"/>
    </row>
    <row r="14" spans="1:11" s="191" customFormat="1" ht="13.5" customHeight="1">
      <c r="A14" s="166"/>
      <c r="B14" s="166"/>
      <c r="C14" s="166"/>
      <c r="D14" s="166"/>
      <c r="E14" s="166"/>
    </row>
    <row r="15" spans="1:11" s="165" customFormat="1" ht="25" customHeight="1">
      <c r="A15" s="294" t="s">
        <v>115</v>
      </c>
      <c r="B15" s="294"/>
      <c r="C15" s="294"/>
      <c r="D15" s="294"/>
      <c r="E15" s="193"/>
      <c r="F15" s="164"/>
      <c r="G15" s="164"/>
      <c r="H15" s="164"/>
      <c r="I15" s="164"/>
      <c r="J15" s="164"/>
      <c r="K15" s="164"/>
    </row>
  </sheetData>
  <mergeCells count="11">
    <mergeCell ref="A13:F13"/>
    <mergeCell ref="A15:D15"/>
    <mergeCell ref="A1:F1"/>
    <mergeCell ref="A2:C2"/>
    <mergeCell ref="A3:C3"/>
    <mergeCell ref="A4:A5"/>
    <mergeCell ref="B4:B5"/>
    <mergeCell ref="C4:C5"/>
    <mergeCell ref="D4:D5"/>
    <mergeCell ref="E4:E5"/>
    <mergeCell ref="F4:F5"/>
  </mergeCells>
  <phoneticPr fontId="110" type="noConversion"/>
  <printOptions horizontalCentered="1"/>
  <pageMargins left="0.59027777777777801" right="0" top="1.18055555555556" bottom="0.59027777777777801" header="1.1013888888888901" footer="0.51180555555555596"/>
  <pageSetup paperSize="9" orientation="landscape" r:id="rId1"/>
  <headerFooter scaleWithDoc="0"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E13"/>
  <sheetViews>
    <sheetView zoomScaleNormal="100" workbookViewId="0">
      <selection activeCell="E5" sqref="E5"/>
    </sheetView>
  </sheetViews>
  <sheetFormatPr defaultColWidth="9" defaultRowHeight="15.75"/>
  <cols>
    <col min="1" max="1" width="17.09765625" customWidth="1"/>
    <col min="2" max="2" width="46.69921875" customWidth="1"/>
    <col min="3" max="3" width="18.5" customWidth="1"/>
    <col min="4" max="4" width="19.5" style="36" customWidth="1"/>
    <col min="5" max="5" width="21.5" customWidth="1"/>
  </cols>
  <sheetData>
    <row r="1" spans="1:5" ht="51" customHeight="1">
      <c r="A1" s="354" t="s">
        <v>116</v>
      </c>
      <c r="B1" s="354"/>
      <c r="C1" s="354"/>
      <c r="D1" s="355"/>
      <c r="E1" s="354"/>
    </row>
    <row r="2" spans="1:5" ht="36.950000000000003" customHeight="1">
      <c r="A2" s="356" t="str">
        <f>链接表!A4&amp;链接表!B4</f>
        <v>项目名称：信宜市绿道二期EPC项目</v>
      </c>
      <c r="B2" s="356"/>
      <c r="C2" s="163"/>
      <c r="D2" s="37"/>
      <c r="E2" s="38" t="str">
        <f>TEXT(链接表!B7,"yyyy年mm月dd日")</f>
        <v>2018年08月08日</v>
      </c>
    </row>
    <row r="3" spans="1:5" s="34" customFormat="1" ht="47.2" customHeight="1">
      <c r="A3" s="39" t="s">
        <v>117</v>
      </c>
      <c r="B3" s="40" t="s">
        <v>27</v>
      </c>
      <c r="C3" s="202" t="s">
        <v>417</v>
      </c>
      <c r="D3" s="41" t="s">
        <v>418</v>
      </c>
      <c r="E3" s="40" t="s">
        <v>419</v>
      </c>
    </row>
    <row r="4" spans="1:5" s="35" customFormat="1" ht="47.2" customHeight="1">
      <c r="A4" s="39" t="s">
        <v>118</v>
      </c>
      <c r="B4" s="42" t="str">
        <f>INDEX(综合得分表!A:F,MATCH(LARGE(综合得分表!$F$6:$F$11,ROW(A1)),综合得分表!F:F,0),2)</f>
        <v>广东省002某某工程股份有限公司</v>
      </c>
      <c r="C4" s="207">
        <f>VLOOKUP(B4,开标现场记录表!$B$5:$L$10,9,FALSE)</f>
        <v>0.12</v>
      </c>
      <c r="D4" s="207">
        <f>VLOOKUP(B4,开标现场记录表!$B$5:$L$10,10,FALSE)</f>
        <v>7.0000000000000007E-2</v>
      </c>
      <c r="E4" s="103">
        <f>VLOOKUP(B4,综合得分表!$B$6:$F$11,5,FALSE)</f>
        <v>91.78</v>
      </c>
    </row>
    <row r="5" spans="1:5" s="35" customFormat="1" ht="47.2" customHeight="1">
      <c r="A5" s="39" t="s">
        <v>119</v>
      </c>
      <c r="B5" s="42" t="str">
        <f>INDEX(综合得分表!A:F,MATCH(LARGE(综合得分表!$F$6:$F$11,ROW(A2)),综合得分表!F:F,0),2)</f>
        <v>广东省001某某工程股份有限公司</v>
      </c>
      <c r="C5" s="207">
        <f>VLOOKUP(B5,开标现场记录表!$B$5:$L$10,9,FALSE)</f>
        <v>0.1</v>
      </c>
      <c r="D5" s="207">
        <f>VLOOKUP(B5,开标现场记录表!$B$5:$L$10,10,FALSE)</f>
        <v>0.06</v>
      </c>
      <c r="E5" s="103">
        <f>VLOOKUP(B5,综合得分表!$B$6:$F$11,5,FALSE)</f>
        <v>81.42</v>
      </c>
    </row>
    <row r="6" spans="1:5" s="35" customFormat="1" ht="47.2" customHeight="1">
      <c r="A6" s="39" t="s">
        <v>120</v>
      </c>
      <c r="B6" s="42" t="str">
        <f>INDEX(综合得分表!A:F,MATCH(LARGE(综合得分表!$F$6:$F$11,ROW(A3)),综合得分表!F:F,0),2)</f>
        <v>广东省006某某工程股份有限公司</v>
      </c>
      <c r="C6" s="207">
        <f>VLOOKUP(B6,开标现场记录表!$B$5:$L$10,9,FALSE)</f>
        <v>0.11</v>
      </c>
      <c r="D6" s="207">
        <f>VLOOKUP(B6,开标现场记录表!$B$5:$L$10,10,FALSE)</f>
        <v>0.11</v>
      </c>
      <c r="E6" s="103">
        <f>VLOOKUP(B6,综合得分表!$B$6:$F$11,5,FALSE)</f>
        <v>72.650000000000006</v>
      </c>
    </row>
    <row r="7" spans="1:5" s="35" customFormat="1" ht="47.2" customHeight="1">
      <c r="A7" s="39" t="s">
        <v>121</v>
      </c>
      <c r="B7" s="40" t="str">
        <f>B4</f>
        <v>广东省002某某工程股份有限公司</v>
      </c>
      <c r="C7" s="207">
        <f>C4</f>
        <v>0.12</v>
      </c>
      <c r="D7" s="207">
        <f>D4</f>
        <v>7.0000000000000007E-2</v>
      </c>
      <c r="E7" s="103">
        <f>E4</f>
        <v>91.78</v>
      </c>
    </row>
    <row r="8" spans="1:5" ht="30.25" customHeight="1">
      <c r="A8" s="357" t="s">
        <v>122</v>
      </c>
      <c r="B8" s="357"/>
      <c r="C8" s="357"/>
      <c r="D8" s="358"/>
      <c r="E8" s="357"/>
    </row>
    <row r="9" spans="1:5" ht="30.25" customHeight="1">
      <c r="A9" s="359" t="s">
        <v>115</v>
      </c>
      <c r="B9" s="359"/>
      <c r="C9" s="359"/>
      <c r="D9" s="360"/>
      <c r="E9" s="359"/>
    </row>
    <row r="10" spans="1:5" ht="25" customHeight="1"/>
    <row r="11" spans="1:5" ht="25" customHeight="1"/>
    <row r="12" spans="1:5" ht="25" customHeight="1"/>
    <row r="13" spans="1:5" ht="25" customHeight="1"/>
  </sheetData>
  <mergeCells count="4">
    <mergeCell ref="A1:E1"/>
    <mergeCell ref="A2:B2"/>
    <mergeCell ref="A8:E8"/>
    <mergeCell ref="A9:E9"/>
  </mergeCells>
  <phoneticPr fontId="110" type="noConversion"/>
  <conditionalFormatting sqref="E8">
    <cfRule type="cellIs" dxfId="6" priority="2" stopIfTrue="1" operator="greaterThan">
      <formula>#REF!</formula>
    </cfRule>
    <cfRule type="cellIs" dxfId="5" priority="3" stopIfTrue="1" operator="lessThan">
      <formula>#REF!</formula>
    </cfRule>
  </conditionalFormatting>
  <printOptions horizontalCentered="1"/>
  <pageMargins left="0.39" right="0.37" top="1.18055555555556" bottom="0.98402777777777795" header="1.1013888888888901" footer="0.51180555555555596"/>
  <pageSetup paperSize="9"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F57"/>
  <sheetViews>
    <sheetView view="pageBreakPreview" topLeftCell="A23" zoomScaleNormal="115" zoomScaleSheetLayoutView="100" workbookViewId="0">
      <selection activeCell="A9" sqref="A9:F9"/>
    </sheetView>
  </sheetViews>
  <sheetFormatPr defaultColWidth="9" defaultRowHeight="15.75"/>
  <cols>
    <col min="1" max="1" width="16" style="27" customWidth="1"/>
    <col min="2" max="4" width="11.69921875" customWidth="1"/>
    <col min="5" max="5" width="13.8984375" customWidth="1"/>
    <col min="6" max="6" width="11.69921875" customWidth="1"/>
  </cols>
  <sheetData>
    <row r="1" spans="1:6" ht="80.5" customHeight="1">
      <c r="A1" s="361" t="str">
        <f>链接表!B4&amp;CHAR(10)&amp;"招标评标报告"</f>
        <v>信宜市绿道二期EPC项目
招标评标报告</v>
      </c>
      <c r="B1" s="361"/>
      <c r="C1" s="361"/>
      <c r="D1" s="361"/>
      <c r="E1" s="361"/>
      <c r="F1" s="361"/>
    </row>
    <row r="2" spans="1:6" ht="24.05" customHeight="1">
      <c r="A2" s="362" t="s">
        <v>123</v>
      </c>
      <c r="B2" s="362"/>
      <c r="C2" s="362"/>
      <c r="D2" s="362"/>
      <c r="E2" s="362"/>
      <c r="F2" s="362"/>
    </row>
    <row r="3" spans="1:6" ht="23.15" customHeight="1">
      <c r="A3" s="363" t="str">
        <f>链接表!A4&amp;链接表!B4</f>
        <v>项目名称：信宜市绿道二期EPC项目</v>
      </c>
      <c r="B3" s="363"/>
      <c r="C3" s="363"/>
      <c r="D3" s="363"/>
      <c r="E3" s="363"/>
      <c r="F3" s="363"/>
    </row>
    <row r="4" spans="1:6" ht="23.15" customHeight="1">
      <c r="A4" s="363" t="str">
        <f>链接表!A5&amp;链接表!B5</f>
        <v>招标人：信宜市旅游投资发展有限公司</v>
      </c>
      <c r="B4" s="363"/>
      <c r="C4" s="363"/>
      <c r="D4" s="363"/>
      <c r="E4" s="363"/>
      <c r="F4" s="363"/>
    </row>
    <row r="5" spans="1:6" ht="23.15" customHeight="1">
      <c r="A5" s="363" t="str">
        <f>链接表!A6&amp;链接表!B6</f>
        <v>招标代理：深圳群伦项目管理有限公司</v>
      </c>
      <c r="B5" s="363"/>
      <c r="C5" s="363"/>
      <c r="D5" s="363"/>
      <c r="E5" s="363"/>
      <c r="F5" s="363"/>
    </row>
    <row r="6" spans="1:6" ht="23.15" customHeight="1">
      <c r="A6" s="363" t="str">
        <f>链接表!A18&amp;链接表!B18</f>
        <v>建设地点：信宜市水口镇、丁堡镇及东镇</v>
      </c>
      <c r="B6" s="363"/>
      <c r="C6" s="363"/>
      <c r="D6" s="363"/>
      <c r="E6" s="363"/>
      <c r="F6" s="363"/>
    </row>
    <row r="7" spans="1:6" ht="56.3" customHeight="1">
      <c r="A7" s="363" t="str">
        <f>链接表!A15&amp;链接表!B15</f>
        <v>建设规模：本项目主要建设信宜绿道、旺同公园及沙滩公园等工程，项目总投资为15149.86万元,其中建安费为12978.59万元，设计费为532.72万元。</v>
      </c>
      <c r="B7" s="363"/>
      <c r="C7" s="363"/>
      <c r="D7" s="363"/>
      <c r="E7" s="363"/>
      <c r="F7" s="363"/>
    </row>
    <row r="8" spans="1:6" ht="46" customHeight="1">
      <c r="A8" s="363" t="str">
        <f>链接表!A19&amp;链接表!B19</f>
        <v>招标范围：本项目的设计、施工、养护期（24个月）养护任务。本次招标确定设计施工总承包的承担主体，中标后负责本项目的设计、施工及养护期养护任务等工作。</v>
      </c>
      <c r="B8" s="363"/>
      <c r="C8" s="363"/>
      <c r="D8" s="363"/>
      <c r="E8" s="363"/>
      <c r="F8" s="363"/>
    </row>
    <row r="9" spans="1:6" ht="81.7" customHeight="1">
      <c r="A9" s="363" t="str">
        <f>链接表!A16&amp;链接表!B16</f>
        <v>质量要求：设计质量要求：符合勘察设计规范要求。
施工质量要求：必须达到《建设工程施工质量验收统一标准》等现行验收规范和工程质量检验评定标准合格及以上。
文明施工安全要求：合格及以上。</v>
      </c>
      <c r="B9" s="363"/>
      <c r="C9" s="363"/>
      <c r="D9" s="363"/>
      <c r="E9" s="363"/>
      <c r="F9" s="363"/>
    </row>
    <row r="10" spans="1:6" ht="23.15" customHeight="1">
      <c r="A10" s="363" t="str">
        <f>链接表!A3&amp;链接表!B3</f>
        <v>招标方式：公开招标</v>
      </c>
      <c r="B10" s="363"/>
      <c r="C10" s="363"/>
      <c r="D10" s="363"/>
      <c r="E10" s="363"/>
      <c r="F10" s="363"/>
    </row>
    <row r="11" spans="1:6" ht="23.15" customHeight="1">
      <c r="A11" s="363" t="str">
        <f>链接表!A2&amp;链接表!B2</f>
        <v>招标类型：工程施工</v>
      </c>
      <c r="B11" s="363"/>
      <c r="C11" s="363"/>
      <c r="D11" s="363"/>
      <c r="E11" s="363"/>
      <c r="F11" s="363"/>
    </row>
    <row r="12" spans="1:6" ht="23.15" customHeight="1">
      <c r="A12" s="363" t="str">
        <f>链接表!A20&amp;链接表!B20</f>
        <v>评标办法：综合评标法</v>
      </c>
      <c r="B12" s="363"/>
      <c r="C12" s="363"/>
      <c r="D12" s="363"/>
      <c r="E12" s="363"/>
      <c r="F12" s="363"/>
    </row>
    <row r="13" spans="1:6" ht="24.05" customHeight="1">
      <c r="A13" s="362" t="s">
        <v>124</v>
      </c>
      <c r="B13" s="362"/>
      <c r="C13" s="362"/>
      <c r="D13" s="362"/>
      <c r="E13" s="362"/>
      <c r="F13" s="362"/>
    </row>
    <row r="14" spans="1:6" ht="23.15" customHeight="1">
      <c r="A14" s="364" t="s">
        <v>125</v>
      </c>
      <c r="B14" s="364"/>
      <c r="C14" s="364"/>
      <c r="D14" s="364"/>
      <c r="E14" s="364"/>
      <c r="F14" s="364"/>
    </row>
    <row r="15" spans="1:6" ht="21.95" customHeight="1">
      <c r="A15" s="363" t="str">
        <f>链接表!A9&amp;链接表!B9</f>
        <v>开标时间：2018年8月8日9时30分</v>
      </c>
      <c r="B15" s="363"/>
      <c r="C15" s="363"/>
      <c r="D15" s="363"/>
      <c r="E15" s="363"/>
      <c r="F15" s="363"/>
    </row>
    <row r="16" spans="1:6" ht="21.95" customHeight="1">
      <c r="A16" s="363" t="str">
        <f>链接表!A8&amp;链接表!B8</f>
        <v>开标地点：信宜市公共资源交易中心</v>
      </c>
      <c r="B16" s="363"/>
      <c r="C16" s="363"/>
      <c r="D16" s="363"/>
      <c r="E16" s="363"/>
      <c r="F16" s="363"/>
    </row>
    <row r="17" spans="1:6" ht="20.149999999999999" customHeight="1">
      <c r="A17" s="364" t="s">
        <v>126</v>
      </c>
      <c r="B17" s="364"/>
      <c r="C17" s="364"/>
      <c r="D17" s="364"/>
      <c r="E17" s="364"/>
      <c r="F17" s="364"/>
    </row>
    <row r="18" spans="1:6" ht="57.05" customHeight="1">
      <c r="A18" s="363" t="str">
        <f>"  (1)开标会议由招标代理主持，并邀请所有投标人的法定代表人或其委托代理人参加，本项目在递交投标文件截止时间（"&amp;链接表!B9&amp;"）前共有 "&amp;COUNTA(链接表!B35:B54)&amp;" 家投标人递交投标文件，均符合开标要求。"</f>
        <v xml:space="preserve">  (1)开标会议由招标代理主持，并邀请所有投标人的法定代表人或其委托代理人参加，本项目在递交投标文件截止时间（2018年8月8日9时30分）前共有 6 家投标人递交投标文件，均符合开标要求。</v>
      </c>
      <c r="B18" s="363"/>
      <c r="C18" s="363"/>
      <c r="D18" s="363"/>
      <c r="E18" s="363"/>
      <c r="F18" s="363"/>
    </row>
    <row r="19" spans="1:6" ht="60.05" customHeight="1">
      <c r="A19" s="365" t="s">
        <v>421</v>
      </c>
      <c r="B19" s="364"/>
      <c r="C19" s="364"/>
      <c r="D19" s="364"/>
      <c r="E19" s="364"/>
      <c r="F19" s="364"/>
    </row>
    <row r="20" spans="1:6" ht="70.8" customHeight="1">
      <c r="A20" s="365" t="s">
        <v>423</v>
      </c>
      <c r="B20" s="364"/>
      <c r="C20" s="364"/>
      <c r="D20" s="364"/>
      <c r="E20" s="364"/>
      <c r="F20" s="364"/>
    </row>
    <row r="21" spans="1:6" ht="34.950000000000003" customHeight="1">
      <c r="A21" s="365" t="s">
        <v>424</v>
      </c>
      <c r="B21" s="364"/>
      <c r="C21" s="364"/>
      <c r="D21" s="364"/>
      <c r="E21" s="364"/>
      <c r="F21" s="364"/>
    </row>
    <row r="22" spans="1:6" ht="24.05" customHeight="1">
      <c r="A22" s="362" t="s">
        <v>127</v>
      </c>
      <c r="B22" s="362"/>
      <c r="C22" s="362"/>
      <c r="D22" s="362"/>
      <c r="E22" s="362"/>
      <c r="F22" s="362"/>
    </row>
    <row r="23" spans="1:6" ht="47.2" customHeight="1">
      <c r="A23" s="366" t="s">
        <v>128</v>
      </c>
      <c r="B23" s="366"/>
      <c r="C23" s="366"/>
      <c r="D23" s="366"/>
      <c r="E23" s="366"/>
      <c r="F23" s="366"/>
    </row>
    <row r="24" spans="1:6" ht="20.149999999999999" customHeight="1">
      <c r="A24" s="30"/>
      <c r="B24" s="31" t="s">
        <v>129</v>
      </c>
      <c r="C24" s="31" t="s">
        <v>130</v>
      </c>
      <c r="D24" s="31" t="s">
        <v>131</v>
      </c>
      <c r="E24" s="31" t="s">
        <v>132</v>
      </c>
      <c r="F24" s="31" t="s">
        <v>133</v>
      </c>
    </row>
    <row r="25" spans="1:6" ht="31.5" customHeight="1">
      <c r="A25" s="32" t="s">
        <v>54</v>
      </c>
      <c r="B25" s="111" t="s">
        <v>134</v>
      </c>
      <c r="C25" s="111" t="s">
        <v>135</v>
      </c>
      <c r="D25" s="111" t="s">
        <v>136</v>
      </c>
      <c r="E25" s="111" t="s">
        <v>137</v>
      </c>
      <c r="F25" s="218" t="s">
        <v>138</v>
      </c>
    </row>
    <row r="26" spans="1:6" ht="31.5" customHeight="1">
      <c r="A26" s="32" t="s">
        <v>139</v>
      </c>
      <c r="B26" s="33" t="s">
        <v>140</v>
      </c>
      <c r="C26" s="33" t="s">
        <v>140</v>
      </c>
      <c r="D26" s="33" t="s">
        <v>140</v>
      </c>
      <c r="E26" s="33" t="s">
        <v>140</v>
      </c>
      <c r="F26" s="33" t="s">
        <v>141</v>
      </c>
    </row>
    <row r="27" spans="1:6" ht="31.5" customHeight="1">
      <c r="A27" s="367" t="s">
        <v>142</v>
      </c>
      <c r="B27" s="368"/>
      <c r="C27" s="219" t="s">
        <v>138</v>
      </c>
      <c r="D27" s="368" t="s">
        <v>143</v>
      </c>
      <c r="E27" s="368"/>
      <c r="F27" s="369"/>
    </row>
    <row r="28" spans="1:6" hidden="1">
      <c r="A28" s="370"/>
      <c r="B28" s="370"/>
      <c r="C28" s="370"/>
      <c r="D28" s="370"/>
      <c r="E28" s="370"/>
      <c r="F28" s="370"/>
    </row>
    <row r="29" spans="1:6" ht="24.05" customHeight="1">
      <c r="A29" s="362" t="s">
        <v>144</v>
      </c>
      <c r="B29" s="362"/>
      <c r="C29" s="362"/>
      <c r="D29" s="362"/>
      <c r="E29" s="362"/>
      <c r="F29" s="362"/>
    </row>
    <row r="30" spans="1:6" ht="20.149999999999999" customHeight="1">
      <c r="A30" s="364" t="s">
        <v>145</v>
      </c>
      <c r="B30" s="364"/>
      <c r="C30" s="364"/>
      <c r="D30" s="364"/>
      <c r="E30" s="364"/>
      <c r="F30" s="364"/>
    </row>
    <row r="31" spans="1:6" ht="20.149999999999999" customHeight="1">
      <c r="A31" s="371" t="s">
        <v>425</v>
      </c>
      <c r="B31" s="371"/>
      <c r="C31" s="371"/>
      <c r="D31" s="371"/>
      <c r="E31" s="371"/>
      <c r="F31" s="371"/>
    </row>
    <row r="32" spans="1:6" ht="20.149999999999999" customHeight="1">
      <c r="A32" s="364" t="str">
        <f>"  (2)评标地点："&amp;链接表!B8</f>
        <v xml:space="preserve">  (2)评标地点：信宜市公共资源交易中心</v>
      </c>
      <c r="B32" s="364"/>
      <c r="C32" s="364"/>
      <c r="D32" s="364"/>
      <c r="E32" s="364"/>
      <c r="F32" s="364"/>
    </row>
    <row r="33" spans="1:6" ht="20.149999999999999" customHeight="1">
      <c r="A33" s="364" t="s">
        <v>146</v>
      </c>
      <c r="B33" s="364"/>
      <c r="C33" s="364"/>
      <c r="D33" s="364"/>
      <c r="E33" s="364"/>
      <c r="F33" s="364"/>
    </row>
    <row r="34" spans="1:6" ht="92.75" customHeight="1">
      <c r="A34" s="364" t="s">
        <v>147</v>
      </c>
      <c r="B34" s="364"/>
      <c r="C34" s="364"/>
      <c r="D34" s="364"/>
      <c r="E34" s="364"/>
      <c r="F34" s="364"/>
    </row>
    <row r="35" spans="1:6" ht="20.149999999999999" customHeight="1">
      <c r="A35" s="364" t="s">
        <v>148</v>
      </c>
      <c r="B35" s="364"/>
      <c r="C35" s="364"/>
      <c r="D35" s="364"/>
      <c r="E35" s="364"/>
      <c r="F35" s="364"/>
    </row>
    <row r="36" spans="1:6" ht="75.05" customHeight="1">
      <c r="A36" s="364" t="s">
        <v>149</v>
      </c>
      <c r="B36" s="364"/>
      <c r="C36" s="364"/>
      <c r="D36" s="364"/>
      <c r="E36" s="364"/>
      <c r="F36" s="364"/>
    </row>
    <row r="37" spans="1:6" ht="20.149999999999999" customHeight="1">
      <c r="A37" s="364" t="s">
        <v>150</v>
      </c>
      <c r="B37" s="364"/>
      <c r="C37" s="364"/>
      <c r="D37" s="364"/>
      <c r="E37" s="364"/>
      <c r="F37" s="364"/>
    </row>
    <row r="38" spans="1:6" ht="88.05" customHeight="1">
      <c r="A38" s="364" t="str">
        <f>"  评标委员会按照招标文件的评标办法， 对开标后送交的"&amp;COUNTA(链接表!B35:B54)&amp;"家投标单位的投标文件进行初步评审，并按评标办法前附表规定的初步评审审查标准：形式评审、资格评审和响应性评审规定的评审因素与标准进行评审。经评审，全部投标单位的投标文件在形式评审、资格评审和响应性评审均能满足审查标准的基本要求，初步评审均获得通过。"</f>
        <v xml:space="preserve">  评标委员会按照招标文件的评标办法， 对开标后送交的6家投标单位的投标文件进行初步评审，并按评标办法前附表规定的初步评审审查标准：形式评审、资格评审和响应性评审规定的评审因素与标准进行评审。经评审，全部投标单位的投标文件在形式评审、资格评审和响应性评审均能满足审查标准的基本要求，初步评审均获得通过。</v>
      </c>
      <c r="B38" s="364"/>
      <c r="C38" s="364"/>
      <c r="D38" s="364"/>
      <c r="E38" s="364"/>
      <c r="F38" s="364"/>
    </row>
    <row r="39" spans="1:6" ht="20.149999999999999" customHeight="1">
      <c r="A39" s="364" t="s">
        <v>151</v>
      </c>
      <c r="B39" s="364"/>
      <c r="C39" s="364"/>
      <c r="D39" s="364"/>
      <c r="E39" s="364"/>
      <c r="F39" s="364"/>
    </row>
    <row r="40" spans="1:6" ht="72.599999999999994" customHeight="1">
      <c r="A40" s="364" t="str">
        <f>"  评标委员会对"&amp;COUNTA(链接表!B35:B54)&amp;"家投标单位的技术投标文件按照招标文件评标办法规定对技术投标文件进行合格性评审。经评标委员会的审查，全部投标人的技术投标文件能满足审查标准的条件要求，合格性审查均获得通过。"</f>
        <v xml:space="preserve">  评标委员会对6家投标单位的技术投标文件按照招标文件评标办法规定对技术投标文件进行合格性评审。经评标委员会的审查，全部投标人的技术投标文件能满足审查标准的条件要求，合格性审查均获得通过。</v>
      </c>
      <c r="B40" s="364"/>
      <c r="C40" s="364"/>
      <c r="D40" s="364"/>
      <c r="E40" s="364"/>
      <c r="F40" s="364"/>
    </row>
    <row r="41" spans="1:6" ht="47.2" hidden="1" customHeight="1">
      <c r="A41" s="364" t="s">
        <v>152</v>
      </c>
      <c r="B41" s="364"/>
      <c r="C41" s="364"/>
      <c r="D41" s="364"/>
      <c r="E41" s="364"/>
      <c r="F41" s="364"/>
    </row>
    <row r="42" spans="1:6" ht="20.149999999999999" customHeight="1">
      <c r="A42" s="364" t="s">
        <v>153</v>
      </c>
      <c r="B42" s="364"/>
      <c r="C42" s="364"/>
      <c r="D42" s="364"/>
      <c r="E42" s="364"/>
      <c r="F42" s="364"/>
    </row>
    <row r="43" spans="1:6" ht="78.650000000000006" customHeight="1">
      <c r="A43" s="364" t="str">
        <f>"  评标委员会对通过初步评审的"&amp;COUNTA(链接表!B35:B54)&amp;"家单位的商务及经济报价投标文件进行详细评审，按照招标文件第三章评标办法第 3.2.2 款规定的量化因素和分值对通过初步评审投标人的商务投标文件进行打分，并根据招标文件的经济报价评分标准计算出经济报价得分。"</f>
        <v xml:space="preserve">  评标委员会对通过初步评审的6家单位的商务及经济报价投标文件进行详细评审，按照招标文件第三章评标办法第 3.2.2 款规定的量化因素和分值对通过初步评审投标人的商务投标文件进行打分，并根据招标文件的经济报价评分标准计算出经济报价得分。</v>
      </c>
      <c r="B43" s="364"/>
      <c r="C43" s="364"/>
      <c r="D43" s="364"/>
      <c r="E43" s="364"/>
      <c r="F43" s="364"/>
    </row>
    <row r="44" spans="1:6" ht="20.149999999999999" customHeight="1">
      <c r="A44" s="365" t="s">
        <v>426</v>
      </c>
      <c r="B44" s="364"/>
      <c r="C44" s="364"/>
      <c r="D44" s="364"/>
      <c r="E44" s="364"/>
      <c r="F44" s="364"/>
    </row>
    <row r="45" spans="1:6" ht="65.95" customHeight="1">
      <c r="A45" s="364" t="s">
        <v>154</v>
      </c>
      <c r="B45" s="364"/>
      <c r="C45" s="364"/>
      <c r="D45" s="364"/>
      <c r="E45" s="364"/>
      <c r="F45" s="364"/>
    </row>
    <row r="46" spans="1:6" ht="24.05" customHeight="1">
      <c r="A46" s="362" t="s">
        <v>155</v>
      </c>
      <c r="B46" s="362"/>
      <c r="C46" s="362"/>
      <c r="D46" s="362"/>
      <c r="E46" s="362"/>
      <c r="F46" s="362"/>
    </row>
    <row r="47" spans="1:6" ht="34.5" customHeight="1">
      <c r="A47" s="364" t="s">
        <v>156</v>
      </c>
      <c r="B47" s="364"/>
      <c r="C47" s="364"/>
      <c r="D47" s="364"/>
      <c r="E47" s="364"/>
      <c r="F47" s="364"/>
    </row>
    <row r="48" spans="1:6" ht="40.549999999999997" customHeight="1">
      <c r="A48" s="30" t="str">
        <f>中标候选人!A4</f>
        <v>第一中标候选人</v>
      </c>
      <c r="B48" s="372" t="str">
        <f>中标候选人!B4</f>
        <v>广东省002某某工程股份有限公司</v>
      </c>
      <c r="C48" s="373"/>
      <c r="D48" s="374"/>
      <c r="E48" s="376" t="str">
        <f>"设计投标报价下浮率："&amp;TEXT(中标候选人!C4,"0.00%")&amp;CHAR(10)&amp;"建安投标报价下浮率："&amp;TEXT(中标候选人!D4,"0.00%")</f>
        <v>设计投标报价下浮率：12.00%
建安投标报价下浮率：7.00%</v>
      </c>
      <c r="F48" s="377"/>
    </row>
    <row r="49" spans="1:6" ht="40.549999999999997" customHeight="1">
      <c r="A49" s="30" t="str">
        <f>中标候选人!A5</f>
        <v>第二中标候选人</v>
      </c>
      <c r="B49" s="372" t="str">
        <f>中标候选人!B5</f>
        <v>广东省001某某工程股份有限公司</v>
      </c>
      <c r="C49" s="373"/>
      <c r="D49" s="374"/>
      <c r="E49" s="376" t="str">
        <f>"设计投标报价下浮率："&amp;TEXT(中标候选人!C5,"0.00%")&amp;CHAR(10)&amp;"建安投标报价下浮率："&amp;TEXT(中标候选人!D5,"0.00%")</f>
        <v>设计投标报价下浮率：10.00%
建安投标报价下浮率：6.00%</v>
      </c>
      <c r="F49" s="377"/>
    </row>
    <row r="50" spans="1:6" ht="40.549999999999997" customHeight="1">
      <c r="A50" s="30" t="str">
        <f>中标候选人!A6</f>
        <v>第三中标候选人</v>
      </c>
      <c r="B50" s="372" t="str">
        <f>中标候选人!B6</f>
        <v>广东省006某某工程股份有限公司</v>
      </c>
      <c r="C50" s="373"/>
      <c r="D50" s="374"/>
      <c r="E50" s="376" t="str">
        <f>"设计投标报价下浮率："&amp;TEXT(中标候选人!C6,"0.00%")&amp;CHAR(10)&amp;"建安投标报价下浮率："&amp;TEXT(中标候选人!D6,"0.00%")</f>
        <v>设计投标报价下浮率：11.00%
建安投标报价下浮率：11.00%</v>
      </c>
      <c r="F50" s="377"/>
    </row>
    <row r="51" spans="1:6" ht="40.549999999999997" customHeight="1">
      <c r="A51" s="30" t="str">
        <f>中标候选人!A7</f>
        <v>中标人</v>
      </c>
      <c r="B51" s="372" t="str">
        <f>中标候选人!B7</f>
        <v>广东省002某某工程股份有限公司</v>
      </c>
      <c r="C51" s="373"/>
      <c r="D51" s="374"/>
      <c r="E51" s="376" t="str">
        <f>E48</f>
        <v>设计投标报价下浮率：12.00%
建安投标报价下浮率：7.00%</v>
      </c>
      <c r="F51" s="377"/>
    </row>
    <row r="52" spans="1:6" ht="72.599999999999994" customHeight="1">
      <c r="A52" s="375" t="str">
        <f>"依照招标文件第二章第一节投标人须知前附表第 7.1 款约定，“招标人授权评标委员会直接确定中标人”。评标委员会确定第一中标候选人："&amp;B51&amp;"为本项目的中标人，其中设计投标报价下浮率："&amp;TEXT(中标候选人!C4,"0.00%")&amp;"，建安投标报价下浮率："&amp;TEXT(中标候选人!D4,"0.00%")&amp;" 。"</f>
        <v>依照招标文件第二章第一节投标人须知前附表第 7.1 款约定，“招标人授权评标委员会直接确定中标人”。评标委员会确定第一中标候选人：广东省002某某工程股份有限公司为本项目的中标人，其中设计投标报价下浮率：12.00%，建安投标报价下浮率：7.00% 。</v>
      </c>
      <c r="B52" s="375"/>
      <c r="C52" s="375"/>
      <c r="D52" s="375"/>
      <c r="E52" s="375"/>
      <c r="F52" s="375"/>
    </row>
    <row r="53" spans="1:6" ht="25" customHeight="1">
      <c r="A53" s="364" t="s">
        <v>158</v>
      </c>
      <c r="B53" s="364"/>
      <c r="C53" s="364"/>
      <c r="D53" s="364"/>
      <c r="E53" s="364"/>
      <c r="F53" s="364"/>
    </row>
    <row r="54" spans="1:6" ht="10" customHeight="1"/>
    <row r="55" spans="1:6" ht="25" customHeight="1">
      <c r="A55" s="364" t="s">
        <v>159</v>
      </c>
      <c r="B55" s="364"/>
      <c r="C55" s="364"/>
      <c r="D55" s="364"/>
      <c r="E55" s="364"/>
      <c r="F55" s="364"/>
    </row>
    <row r="56" spans="1:6" ht="25" customHeight="1"/>
    <row r="57" spans="1:6" ht="24.05" customHeight="1">
      <c r="A57" s="364" t="s">
        <v>160</v>
      </c>
      <c r="B57" s="364"/>
      <c r="C57" s="364"/>
      <c r="D57" s="364"/>
      <c r="E57" s="364"/>
      <c r="F57" s="364"/>
    </row>
  </sheetData>
  <mergeCells count="57">
    <mergeCell ref="A53:F53"/>
    <mergeCell ref="A55:F55"/>
    <mergeCell ref="A57:F57"/>
    <mergeCell ref="B48:D48"/>
    <mergeCell ref="B49:D49"/>
    <mergeCell ref="B50:D50"/>
    <mergeCell ref="B51:D51"/>
    <mergeCell ref="A52:F52"/>
    <mergeCell ref="E48:F48"/>
    <mergeCell ref="E49:F49"/>
    <mergeCell ref="E50:F50"/>
    <mergeCell ref="E51:F51"/>
    <mergeCell ref="A43:F43"/>
    <mergeCell ref="A44:F44"/>
    <mergeCell ref="A45:F45"/>
    <mergeCell ref="A46:F46"/>
    <mergeCell ref="A47:F47"/>
    <mergeCell ref="A38:F38"/>
    <mergeCell ref="A39:F39"/>
    <mergeCell ref="A40:F40"/>
    <mergeCell ref="A41:F41"/>
    <mergeCell ref="A42:F42"/>
    <mergeCell ref="A33:F33"/>
    <mergeCell ref="A34:F34"/>
    <mergeCell ref="A35:F35"/>
    <mergeCell ref="A36:F36"/>
    <mergeCell ref="A37:F37"/>
    <mergeCell ref="A28:F28"/>
    <mergeCell ref="A29:F29"/>
    <mergeCell ref="A30:F30"/>
    <mergeCell ref="A31:F31"/>
    <mergeCell ref="A32:F32"/>
    <mergeCell ref="A21:F21"/>
    <mergeCell ref="A22:F22"/>
    <mergeCell ref="A23:F23"/>
    <mergeCell ref="A27:B27"/>
    <mergeCell ref="D27:F27"/>
    <mergeCell ref="A16:F16"/>
    <mergeCell ref="A17:F17"/>
    <mergeCell ref="A18:F18"/>
    <mergeCell ref="A19:F19"/>
    <mergeCell ref="A20:F20"/>
    <mergeCell ref="A11:F11"/>
    <mergeCell ref="A12:F12"/>
    <mergeCell ref="A13:F13"/>
    <mergeCell ref="A14:F14"/>
    <mergeCell ref="A15:F15"/>
    <mergeCell ref="A6:F6"/>
    <mergeCell ref="A7:F7"/>
    <mergeCell ref="A8:F8"/>
    <mergeCell ref="A9:F9"/>
    <mergeCell ref="A10:F10"/>
    <mergeCell ref="A1:F1"/>
    <mergeCell ref="A2:F2"/>
    <mergeCell ref="A3:F3"/>
    <mergeCell ref="A4:F4"/>
    <mergeCell ref="A5:F5"/>
  </mergeCells>
  <phoneticPr fontId="110" type="noConversion"/>
  <pageMargins left="0.59055118110236227" right="0.59055118110236227" top="0.98425196850393704" bottom="0.78740157480314965" header="0.31496062992125984" footer="0.31496062992125984"/>
  <pageSetup paperSize="9" orientation="portrait" r:id="rId1"/>
  <headerFooter>
    <oddFooter>&amp;C&amp;P</odd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G51"/>
  <sheetViews>
    <sheetView view="pageBreakPreview" zoomScaleNormal="100" zoomScaleSheetLayoutView="100" workbookViewId="0">
      <selection activeCell="A21" sqref="A21:G21"/>
    </sheetView>
  </sheetViews>
  <sheetFormatPr defaultColWidth="9" defaultRowHeight="15.75"/>
  <cols>
    <col min="1" max="1" width="4.69921875" style="23" customWidth="1"/>
    <col min="2" max="2" width="13.19921875" style="23" customWidth="1"/>
    <col min="3" max="3" width="11.09765625" style="23" customWidth="1"/>
    <col min="4" max="4" width="15.09765625" style="23" customWidth="1"/>
    <col min="5" max="5" width="26.09765625" style="23" customWidth="1"/>
    <col min="6" max="6" width="9.69921875" style="23" customWidth="1"/>
    <col min="7" max="7" width="17.09765625" style="23" customWidth="1"/>
    <col min="8" max="256" width="9" style="23"/>
    <col min="257" max="257" width="4.69921875" style="23" customWidth="1"/>
    <col min="258" max="258" width="13.19921875" style="23" customWidth="1"/>
    <col min="259" max="259" width="11.09765625" style="23" customWidth="1"/>
    <col min="260" max="260" width="15.8984375" style="23" customWidth="1"/>
    <col min="261" max="261" width="13.59765625" style="23" customWidth="1"/>
    <col min="262" max="262" width="9.69921875" style="23" customWidth="1"/>
    <col min="263" max="263" width="17.09765625" style="23" customWidth="1"/>
    <col min="264" max="512" width="9" style="23"/>
    <col min="513" max="513" width="4.69921875" style="23" customWidth="1"/>
    <col min="514" max="514" width="13.19921875" style="23" customWidth="1"/>
    <col min="515" max="515" width="11.09765625" style="23" customWidth="1"/>
    <col min="516" max="516" width="15.8984375" style="23" customWidth="1"/>
    <col min="517" max="517" width="13.59765625" style="23" customWidth="1"/>
    <col min="518" max="518" width="9.69921875" style="23" customWidth="1"/>
    <col min="519" max="519" width="17.09765625" style="23" customWidth="1"/>
    <col min="520" max="768" width="9" style="23"/>
    <col min="769" max="769" width="4.69921875" style="23" customWidth="1"/>
    <col min="770" max="770" width="13.19921875" style="23" customWidth="1"/>
    <col min="771" max="771" width="11.09765625" style="23" customWidth="1"/>
    <col min="772" max="772" width="15.8984375" style="23" customWidth="1"/>
    <col min="773" max="773" width="13.59765625" style="23" customWidth="1"/>
    <col min="774" max="774" width="9.69921875" style="23" customWidth="1"/>
    <col min="775" max="775" width="17.09765625" style="23" customWidth="1"/>
    <col min="776" max="1024" width="9" style="23"/>
    <col min="1025" max="1025" width="4.69921875" style="23" customWidth="1"/>
    <col min="1026" max="1026" width="13.19921875" style="23" customWidth="1"/>
    <col min="1027" max="1027" width="11.09765625" style="23" customWidth="1"/>
    <col min="1028" max="1028" width="15.8984375" style="23" customWidth="1"/>
    <col min="1029" max="1029" width="13.59765625" style="23" customWidth="1"/>
    <col min="1030" max="1030" width="9.69921875" style="23" customWidth="1"/>
    <col min="1031" max="1031" width="17.09765625" style="23" customWidth="1"/>
    <col min="1032" max="1280" width="9" style="23"/>
    <col min="1281" max="1281" width="4.69921875" style="23" customWidth="1"/>
    <col min="1282" max="1282" width="13.19921875" style="23" customWidth="1"/>
    <col min="1283" max="1283" width="11.09765625" style="23" customWidth="1"/>
    <col min="1284" max="1284" width="15.8984375" style="23" customWidth="1"/>
    <col min="1285" max="1285" width="13.59765625" style="23" customWidth="1"/>
    <col min="1286" max="1286" width="9.69921875" style="23" customWidth="1"/>
    <col min="1287" max="1287" width="17.09765625" style="23" customWidth="1"/>
    <col min="1288" max="1536" width="9" style="23"/>
    <col min="1537" max="1537" width="4.69921875" style="23" customWidth="1"/>
    <col min="1538" max="1538" width="13.19921875" style="23" customWidth="1"/>
    <col min="1539" max="1539" width="11.09765625" style="23" customWidth="1"/>
    <col min="1540" max="1540" width="15.8984375" style="23" customWidth="1"/>
    <col min="1541" max="1541" width="13.59765625" style="23" customWidth="1"/>
    <col min="1542" max="1542" width="9.69921875" style="23" customWidth="1"/>
    <col min="1543" max="1543" width="17.09765625" style="23" customWidth="1"/>
    <col min="1544" max="1792" width="9" style="23"/>
    <col min="1793" max="1793" width="4.69921875" style="23" customWidth="1"/>
    <col min="1794" max="1794" width="13.19921875" style="23" customWidth="1"/>
    <col min="1795" max="1795" width="11.09765625" style="23" customWidth="1"/>
    <col min="1796" max="1796" width="15.8984375" style="23" customWidth="1"/>
    <col min="1797" max="1797" width="13.59765625" style="23" customWidth="1"/>
    <col min="1798" max="1798" width="9.69921875" style="23" customWidth="1"/>
    <col min="1799" max="1799" width="17.09765625" style="23" customWidth="1"/>
    <col min="1800" max="2048" width="9" style="23"/>
    <col min="2049" max="2049" width="4.69921875" style="23" customWidth="1"/>
    <col min="2050" max="2050" width="13.19921875" style="23" customWidth="1"/>
    <col min="2051" max="2051" width="11.09765625" style="23" customWidth="1"/>
    <col min="2052" max="2052" width="15.8984375" style="23" customWidth="1"/>
    <col min="2053" max="2053" width="13.59765625" style="23" customWidth="1"/>
    <col min="2054" max="2054" width="9.69921875" style="23" customWidth="1"/>
    <col min="2055" max="2055" width="17.09765625" style="23" customWidth="1"/>
    <col min="2056" max="2304" width="9" style="23"/>
    <col min="2305" max="2305" width="4.69921875" style="23" customWidth="1"/>
    <col min="2306" max="2306" width="13.19921875" style="23" customWidth="1"/>
    <col min="2307" max="2307" width="11.09765625" style="23" customWidth="1"/>
    <col min="2308" max="2308" width="15.8984375" style="23" customWidth="1"/>
    <col min="2309" max="2309" width="13.59765625" style="23" customWidth="1"/>
    <col min="2310" max="2310" width="9.69921875" style="23" customWidth="1"/>
    <col min="2311" max="2311" width="17.09765625" style="23" customWidth="1"/>
    <col min="2312" max="2560" width="9" style="23"/>
    <col min="2561" max="2561" width="4.69921875" style="23" customWidth="1"/>
    <col min="2562" max="2562" width="13.19921875" style="23" customWidth="1"/>
    <col min="2563" max="2563" width="11.09765625" style="23" customWidth="1"/>
    <col min="2564" max="2564" width="15.8984375" style="23" customWidth="1"/>
    <col min="2565" max="2565" width="13.59765625" style="23" customWidth="1"/>
    <col min="2566" max="2566" width="9.69921875" style="23" customWidth="1"/>
    <col min="2567" max="2567" width="17.09765625" style="23" customWidth="1"/>
    <col min="2568" max="2816" width="9" style="23"/>
    <col min="2817" max="2817" width="4.69921875" style="23" customWidth="1"/>
    <col min="2818" max="2818" width="13.19921875" style="23" customWidth="1"/>
    <col min="2819" max="2819" width="11.09765625" style="23" customWidth="1"/>
    <col min="2820" max="2820" width="15.8984375" style="23" customWidth="1"/>
    <col min="2821" max="2821" width="13.59765625" style="23" customWidth="1"/>
    <col min="2822" max="2822" width="9.69921875" style="23" customWidth="1"/>
    <col min="2823" max="2823" width="17.09765625" style="23" customWidth="1"/>
    <col min="2824" max="3072" width="9" style="23"/>
    <col min="3073" max="3073" width="4.69921875" style="23" customWidth="1"/>
    <col min="3074" max="3074" width="13.19921875" style="23" customWidth="1"/>
    <col min="3075" max="3075" width="11.09765625" style="23" customWidth="1"/>
    <col min="3076" max="3076" width="15.8984375" style="23" customWidth="1"/>
    <col min="3077" max="3077" width="13.59765625" style="23" customWidth="1"/>
    <col min="3078" max="3078" width="9.69921875" style="23" customWidth="1"/>
    <col min="3079" max="3079" width="17.09765625" style="23" customWidth="1"/>
    <col min="3080" max="3328" width="9" style="23"/>
    <col min="3329" max="3329" width="4.69921875" style="23" customWidth="1"/>
    <col min="3330" max="3330" width="13.19921875" style="23" customWidth="1"/>
    <col min="3331" max="3331" width="11.09765625" style="23" customWidth="1"/>
    <col min="3332" max="3332" width="15.8984375" style="23" customWidth="1"/>
    <col min="3333" max="3333" width="13.59765625" style="23" customWidth="1"/>
    <col min="3334" max="3334" width="9.69921875" style="23" customWidth="1"/>
    <col min="3335" max="3335" width="17.09765625" style="23" customWidth="1"/>
    <col min="3336" max="3584" width="9" style="23"/>
    <col min="3585" max="3585" width="4.69921875" style="23" customWidth="1"/>
    <col min="3586" max="3586" width="13.19921875" style="23" customWidth="1"/>
    <col min="3587" max="3587" width="11.09765625" style="23" customWidth="1"/>
    <col min="3588" max="3588" width="15.8984375" style="23" customWidth="1"/>
    <col min="3589" max="3589" width="13.59765625" style="23" customWidth="1"/>
    <col min="3590" max="3590" width="9.69921875" style="23" customWidth="1"/>
    <col min="3591" max="3591" width="17.09765625" style="23" customWidth="1"/>
    <col min="3592" max="3840" width="9" style="23"/>
    <col min="3841" max="3841" width="4.69921875" style="23" customWidth="1"/>
    <col min="3842" max="3842" width="13.19921875" style="23" customWidth="1"/>
    <col min="3843" max="3843" width="11.09765625" style="23" customWidth="1"/>
    <col min="3844" max="3844" width="15.8984375" style="23" customWidth="1"/>
    <col min="3845" max="3845" width="13.59765625" style="23" customWidth="1"/>
    <col min="3846" max="3846" width="9.69921875" style="23" customWidth="1"/>
    <col min="3847" max="3847" width="17.09765625" style="23" customWidth="1"/>
    <col min="3848" max="4096" width="9" style="23"/>
    <col min="4097" max="4097" width="4.69921875" style="23" customWidth="1"/>
    <col min="4098" max="4098" width="13.19921875" style="23" customWidth="1"/>
    <col min="4099" max="4099" width="11.09765625" style="23" customWidth="1"/>
    <col min="4100" max="4100" width="15.8984375" style="23" customWidth="1"/>
    <col min="4101" max="4101" width="13.59765625" style="23" customWidth="1"/>
    <col min="4102" max="4102" width="9.69921875" style="23" customWidth="1"/>
    <col min="4103" max="4103" width="17.09765625" style="23" customWidth="1"/>
    <col min="4104" max="4352" width="9" style="23"/>
    <col min="4353" max="4353" width="4.69921875" style="23" customWidth="1"/>
    <col min="4354" max="4354" width="13.19921875" style="23" customWidth="1"/>
    <col min="4355" max="4355" width="11.09765625" style="23" customWidth="1"/>
    <col min="4356" max="4356" width="15.8984375" style="23" customWidth="1"/>
    <col min="4357" max="4357" width="13.59765625" style="23" customWidth="1"/>
    <col min="4358" max="4358" width="9.69921875" style="23" customWidth="1"/>
    <col min="4359" max="4359" width="17.09765625" style="23" customWidth="1"/>
    <col min="4360" max="4608" width="9" style="23"/>
    <col min="4609" max="4609" width="4.69921875" style="23" customWidth="1"/>
    <col min="4610" max="4610" width="13.19921875" style="23" customWidth="1"/>
    <col min="4611" max="4611" width="11.09765625" style="23" customWidth="1"/>
    <col min="4612" max="4612" width="15.8984375" style="23" customWidth="1"/>
    <col min="4613" max="4613" width="13.59765625" style="23" customWidth="1"/>
    <col min="4614" max="4614" width="9.69921875" style="23" customWidth="1"/>
    <col min="4615" max="4615" width="17.09765625" style="23" customWidth="1"/>
    <col min="4616" max="4864" width="9" style="23"/>
    <col min="4865" max="4865" width="4.69921875" style="23" customWidth="1"/>
    <col min="4866" max="4866" width="13.19921875" style="23" customWidth="1"/>
    <col min="4867" max="4867" width="11.09765625" style="23" customWidth="1"/>
    <col min="4868" max="4868" width="15.8984375" style="23" customWidth="1"/>
    <col min="4869" max="4869" width="13.59765625" style="23" customWidth="1"/>
    <col min="4870" max="4870" width="9.69921875" style="23" customWidth="1"/>
    <col min="4871" max="4871" width="17.09765625" style="23" customWidth="1"/>
    <col min="4872" max="5120" width="9" style="23"/>
    <col min="5121" max="5121" width="4.69921875" style="23" customWidth="1"/>
    <col min="5122" max="5122" width="13.19921875" style="23" customWidth="1"/>
    <col min="5123" max="5123" width="11.09765625" style="23" customWidth="1"/>
    <col min="5124" max="5124" width="15.8984375" style="23" customWidth="1"/>
    <col min="5125" max="5125" width="13.59765625" style="23" customWidth="1"/>
    <col min="5126" max="5126" width="9.69921875" style="23" customWidth="1"/>
    <col min="5127" max="5127" width="17.09765625" style="23" customWidth="1"/>
    <col min="5128" max="5376" width="9" style="23"/>
    <col min="5377" max="5377" width="4.69921875" style="23" customWidth="1"/>
    <col min="5378" max="5378" width="13.19921875" style="23" customWidth="1"/>
    <col min="5379" max="5379" width="11.09765625" style="23" customWidth="1"/>
    <col min="5380" max="5380" width="15.8984375" style="23" customWidth="1"/>
    <col min="5381" max="5381" width="13.59765625" style="23" customWidth="1"/>
    <col min="5382" max="5382" width="9.69921875" style="23" customWidth="1"/>
    <col min="5383" max="5383" width="17.09765625" style="23" customWidth="1"/>
    <col min="5384" max="5632" width="9" style="23"/>
    <col min="5633" max="5633" width="4.69921875" style="23" customWidth="1"/>
    <col min="5634" max="5634" width="13.19921875" style="23" customWidth="1"/>
    <col min="5635" max="5635" width="11.09765625" style="23" customWidth="1"/>
    <col min="5636" max="5636" width="15.8984375" style="23" customWidth="1"/>
    <col min="5637" max="5637" width="13.59765625" style="23" customWidth="1"/>
    <col min="5638" max="5638" width="9.69921875" style="23" customWidth="1"/>
    <col min="5639" max="5639" width="17.09765625" style="23" customWidth="1"/>
    <col min="5640" max="5888" width="9" style="23"/>
    <col min="5889" max="5889" width="4.69921875" style="23" customWidth="1"/>
    <col min="5890" max="5890" width="13.19921875" style="23" customWidth="1"/>
    <col min="5891" max="5891" width="11.09765625" style="23" customWidth="1"/>
    <col min="5892" max="5892" width="15.8984375" style="23" customWidth="1"/>
    <col min="5893" max="5893" width="13.59765625" style="23" customWidth="1"/>
    <col min="5894" max="5894" width="9.69921875" style="23" customWidth="1"/>
    <col min="5895" max="5895" width="17.09765625" style="23" customWidth="1"/>
    <col min="5896" max="6144" width="9" style="23"/>
    <col min="6145" max="6145" width="4.69921875" style="23" customWidth="1"/>
    <col min="6146" max="6146" width="13.19921875" style="23" customWidth="1"/>
    <col min="6147" max="6147" width="11.09765625" style="23" customWidth="1"/>
    <col min="6148" max="6148" width="15.8984375" style="23" customWidth="1"/>
    <col min="6149" max="6149" width="13.59765625" style="23" customWidth="1"/>
    <col min="6150" max="6150" width="9.69921875" style="23" customWidth="1"/>
    <col min="6151" max="6151" width="17.09765625" style="23" customWidth="1"/>
    <col min="6152" max="6400" width="9" style="23"/>
    <col min="6401" max="6401" width="4.69921875" style="23" customWidth="1"/>
    <col min="6402" max="6402" width="13.19921875" style="23" customWidth="1"/>
    <col min="6403" max="6403" width="11.09765625" style="23" customWidth="1"/>
    <col min="6404" max="6404" width="15.8984375" style="23" customWidth="1"/>
    <col min="6405" max="6405" width="13.59765625" style="23" customWidth="1"/>
    <col min="6406" max="6406" width="9.69921875" style="23" customWidth="1"/>
    <col min="6407" max="6407" width="17.09765625" style="23" customWidth="1"/>
    <col min="6408" max="6656" width="9" style="23"/>
    <col min="6657" max="6657" width="4.69921875" style="23" customWidth="1"/>
    <col min="6658" max="6658" width="13.19921875" style="23" customWidth="1"/>
    <col min="6659" max="6659" width="11.09765625" style="23" customWidth="1"/>
    <col min="6660" max="6660" width="15.8984375" style="23" customWidth="1"/>
    <col min="6661" max="6661" width="13.59765625" style="23" customWidth="1"/>
    <col min="6662" max="6662" width="9.69921875" style="23" customWidth="1"/>
    <col min="6663" max="6663" width="17.09765625" style="23" customWidth="1"/>
    <col min="6664" max="6912" width="9" style="23"/>
    <col min="6913" max="6913" width="4.69921875" style="23" customWidth="1"/>
    <col min="6914" max="6914" width="13.19921875" style="23" customWidth="1"/>
    <col min="6915" max="6915" width="11.09765625" style="23" customWidth="1"/>
    <col min="6916" max="6916" width="15.8984375" style="23" customWidth="1"/>
    <col min="6917" max="6917" width="13.59765625" style="23" customWidth="1"/>
    <col min="6918" max="6918" width="9.69921875" style="23" customWidth="1"/>
    <col min="6919" max="6919" width="17.09765625" style="23" customWidth="1"/>
    <col min="6920" max="7168" width="9" style="23"/>
    <col min="7169" max="7169" width="4.69921875" style="23" customWidth="1"/>
    <col min="7170" max="7170" width="13.19921875" style="23" customWidth="1"/>
    <col min="7171" max="7171" width="11.09765625" style="23" customWidth="1"/>
    <col min="7172" max="7172" width="15.8984375" style="23" customWidth="1"/>
    <col min="7173" max="7173" width="13.59765625" style="23" customWidth="1"/>
    <col min="7174" max="7174" width="9.69921875" style="23" customWidth="1"/>
    <col min="7175" max="7175" width="17.09765625" style="23" customWidth="1"/>
    <col min="7176" max="7424" width="9" style="23"/>
    <col min="7425" max="7425" width="4.69921875" style="23" customWidth="1"/>
    <col min="7426" max="7426" width="13.19921875" style="23" customWidth="1"/>
    <col min="7427" max="7427" width="11.09765625" style="23" customWidth="1"/>
    <col min="7428" max="7428" width="15.8984375" style="23" customWidth="1"/>
    <col min="7429" max="7429" width="13.59765625" style="23" customWidth="1"/>
    <col min="7430" max="7430" width="9.69921875" style="23" customWidth="1"/>
    <col min="7431" max="7431" width="17.09765625" style="23" customWidth="1"/>
    <col min="7432" max="7680" width="9" style="23"/>
    <col min="7681" max="7681" width="4.69921875" style="23" customWidth="1"/>
    <col min="7682" max="7682" width="13.19921875" style="23" customWidth="1"/>
    <col min="7683" max="7683" width="11.09765625" style="23" customWidth="1"/>
    <col min="7684" max="7684" width="15.8984375" style="23" customWidth="1"/>
    <col min="7685" max="7685" width="13.59765625" style="23" customWidth="1"/>
    <col min="7686" max="7686" width="9.69921875" style="23" customWidth="1"/>
    <col min="7687" max="7687" width="17.09765625" style="23" customWidth="1"/>
    <col min="7688" max="7936" width="9" style="23"/>
    <col min="7937" max="7937" width="4.69921875" style="23" customWidth="1"/>
    <col min="7938" max="7938" width="13.19921875" style="23" customWidth="1"/>
    <col min="7939" max="7939" width="11.09765625" style="23" customWidth="1"/>
    <col min="7940" max="7940" width="15.8984375" style="23" customWidth="1"/>
    <col min="7941" max="7941" width="13.59765625" style="23" customWidth="1"/>
    <col min="7942" max="7942" width="9.69921875" style="23" customWidth="1"/>
    <col min="7943" max="7943" width="17.09765625" style="23" customWidth="1"/>
    <col min="7944" max="8192" width="9" style="23"/>
    <col min="8193" max="8193" width="4.69921875" style="23" customWidth="1"/>
    <col min="8194" max="8194" width="13.19921875" style="23" customWidth="1"/>
    <col min="8195" max="8195" width="11.09765625" style="23" customWidth="1"/>
    <col min="8196" max="8196" width="15.8984375" style="23" customWidth="1"/>
    <col min="8197" max="8197" width="13.59765625" style="23" customWidth="1"/>
    <col min="8198" max="8198" width="9.69921875" style="23" customWidth="1"/>
    <col min="8199" max="8199" width="17.09765625" style="23" customWidth="1"/>
    <col min="8200" max="8448" width="9" style="23"/>
    <col min="8449" max="8449" width="4.69921875" style="23" customWidth="1"/>
    <col min="8450" max="8450" width="13.19921875" style="23" customWidth="1"/>
    <col min="8451" max="8451" width="11.09765625" style="23" customWidth="1"/>
    <col min="8452" max="8452" width="15.8984375" style="23" customWidth="1"/>
    <col min="8453" max="8453" width="13.59765625" style="23" customWidth="1"/>
    <col min="8454" max="8454" width="9.69921875" style="23" customWidth="1"/>
    <col min="8455" max="8455" width="17.09765625" style="23" customWidth="1"/>
    <col min="8456" max="8704" width="9" style="23"/>
    <col min="8705" max="8705" width="4.69921875" style="23" customWidth="1"/>
    <col min="8706" max="8706" width="13.19921875" style="23" customWidth="1"/>
    <col min="8707" max="8707" width="11.09765625" style="23" customWidth="1"/>
    <col min="8708" max="8708" width="15.8984375" style="23" customWidth="1"/>
    <col min="8709" max="8709" width="13.59765625" style="23" customWidth="1"/>
    <col min="8710" max="8710" width="9.69921875" style="23" customWidth="1"/>
    <col min="8711" max="8711" width="17.09765625" style="23" customWidth="1"/>
    <col min="8712" max="8960" width="9" style="23"/>
    <col min="8961" max="8961" width="4.69921875" style="23" customWidth="1"/>
    <col min="8962" max="8962" width="13.19921875" style="23" customWidth="1"/>
    <col min="8963" max="8963" width="11.09765625" style="23" customWidth="1"/>
    <col min="8964" max="8964" width="15.8984375" style="23" customWidth="1"/>
    <col min="8965" max="8965" width="13.59765625" style="23" customWidth="1"/>
    <col min="8966" max="8966" width="9.69921875" style="23" customWidth="1"/>
    <col min="8967" max="8967" width="17.09765625" style="23" customWidth="1"/>
    <col min="8968" max="9216" width="9" style="23"/>
    <col min="9217" max="9217" width="4.69921875" style="23" customWidth="1"/>
    <col min="9218" max="9218" width="13.19921875" style="23" customWidth="1"/>
    <col min="9219" max="9219" width="11.09765625" style="23" customWidth="1"/>
    <col min="9220" max="9220" width="15.8984375" style="23" customWidth="1"/>
    <col min="9221" max="9221" width="13.59765625" style="23" customWidth="1"/>
    <col min="9222" max="9222" width="9.69921875" style="23" customWidth="1"/>
    <col min="9223" max="9223" width="17.09765625" style="23" customWidth="1"/>
    <col min="9224" max="9472" width="9" style="23"/>
    <col min="9473" max="9473" width="4.69921875" style="23" customWidth="1"/>
    <col min="9474" max="9474" width="13.19921875" style="23" customWidth="1"/>
    <col min="9475" max="9475" width="11.09765625" style="23" customWidth="1"/>
    <col min="9476" max="9476" width="15.8984375" style="23" customWidth="1"/>
    <col min="9477" max="9477" width="13.59765625" style="23" customWidth="1"/>
    <col min="9478" max="9478" width="9.69921875" style="23" customWidth="1"/>
    <col min="9479" max="9479" width="17.09765625" style="23" customWidth="1"/>
    <col min="9480" max="9728" width="9" style="23"/>
    <col min="9729" max="9729" width="4.69921875" style="23" customWidth="1"/>
    <col min="9730" max="9730" width="13.19921875" style="23" customWidth="1"/>
    <col min="9731" max="9731" width="11.09765625" style="23" customWidth="1"/>
    <col min="9732" max="9732" width="15.8984375" style="23" customWidth="1"/>
    <col min="9733" max="9733" width="13.59765625" style="23" customWidth="1"/>
    <col min="9734" max="9734" width="9.69921875" style="23" customWidth="1"/>
    <col min="9735" max="9735" width="17.09765625" style="23" customWidth="1"/>
    <col min="9736" max="9984" width="9" style="23"/>
    <col min="9985" max="9985" width="4.69921875" style="23" customWidth="1"/>
    <col min="9986" max="9986" width="13.19921875" style="23" customWidth="1"/>
    <col min="9987" max="9987" width="11.09765625" style="23" customWidth="1"/>
    <col min="9988" max="9988" width="15.8984375" style="23" customWidth="1"/>
    <col min="9989" max="9989" width="13.59765625" style="23" customWidth="1"/>
    <col min="9990" max="9990" width="9.69921875" style="23" customWidth="1"/>
    <col min="9991" max="9991" width="17.09765625" style="23" customWidth="1"/>
    <col min="9992" max="10240" width="9" style="23"/>
    <col min="10241" max="10241" width="4.69921875" style="23" customWidth="1"/>
    <col min="10242" max="10242" width="13.19921875" style="23" customWidth="1"/>
    <col min="10243" max="10243" width="11.09765625" style="23" customWidth="1"/>
    <col min="10244" max="10244" width="15.8984375" style="23" customWidth="1"/>
    <col min="10245" max="10245" width="13.59765625" style="23" customWidth="1"/>
    <col min="10246" max="10246" width="9.69921875" style="23" customWidth="1"/>
    <col min="10247" max="10247" width="17.09765625" style="23" customWidth="1"/>
    <col min="10248" max="10496" width="9" style="23"/>
    <col min="10497" max="10497" width="4.69921875" style="23" customWidth="1"/>
    <col min="10498" max="10498" width="13.19921875" style="23" customWidth="1"/>
    <col min="10499" max="10499" width="11.09765625" style="23" customWidth="1"/>
    <col min="10500" max="10500" width="15.8984375" style="23" customWidth="1"/>
    <col min="10501" max="10501" width="13.59765625" style="23" customWidth="1"/>
    <col min="10502" max="10502" width="9.69921875" style="23" customWidth="1"/>
    <col min="10503" max="10503" width="17.09765625" style="23" customWidth="1"/>
    <col min="10504" max="10752" width="9" style="23"/>
    <col min="10753" max="10753" width="4.69921875" style="23" customWidth="1"/>
    <col min="10754" max="10754" width="13.19921875" style="23" customWidth="1"/>
    <col min="10755" max="10755" width="11.09765625" style="23" customWidth="1"/>
    <col min="10756" max="10756" width="15.8984375" style="23" customWidth="1"/>
    <col min="10757" max="10757" width="13.59765625" style="23" customWidth="1"/>
    <col min="10758" max="10758" width="9.69921875" style="23" customWidth="1"/>
    <col min="10759" max="10759" width="17.09765625" style="23" customWidth="1"/>
    <col min="10760" max="11008" width="9" style="23"/>
    <col min="11009" max="11009" width="4.69921875" style="23" customWidth="1"/>
    <col min="11010" max="11010" width="13.19921875" style="23" customWidth="1"/>
    <col min="11011" max="11011" width="11.09765625" style="23" customWidth="1"/>
    <col min="11012" max="11012" width="15.8984375" style="23" customWidth="1"/>
    <col min="11013" max="11013" width="13.59765625" style="23" customWidth="1"/>
    <col min="11014" max="11014" width="9.69921875" style="23" customWidth="1"/>
    <col min="11015" max="11015" width="17.09765625" style="23" customWidth="1"/>
    <col min="11016" max="11264" width="9" style="23"/>
    <col min="11265" max="11265" width="4.69921875" style="23" customWidth="1"/>
    <col min="11266" max="11266" width="13.19921875" style="23" customWidth="1"/>
    <col min="11267" max="11267" width="11.09765625" style="23" customWidth="1"/>
    <col min="11268" max="11268" width="15.8984375" style="23" customWidth="1"/>
    <col min="11269" max="11269" width="13.59765625" style="23" customWidth="1"/>
    <col min="11270" max="11270" width="9.69921875" style="23" customWidth="1"/>
    <col min="11271" max="11271" width="17.09765625" style="23" customWidth="1"/>
    <col min="11272" max="11520" width="9" style="23"/>
    <col min="11521" max="11521" width="4.69921875" style="23" customWidth="1"/>
    <col min="11522" max="11522" width="13.19921875" style="23" customWidth="1"/>
    <col min="11523" max="11523" width="11.09765625" style="23" customWidth="1"/>
    <col min="11524" max="11524" width="15.8984375" style="23" customWidth="1"/>
    <col min="11525" max="11525" width="13.59765625" style="23" customWidth="1"/>
    <col min="11526" max="11526" width="9.69921875" style="23" customWidth="1"/>
    <col min="11527" max="11527" width="17.09765625" style="23" customWidth="1"/>
    <col min="11528" max="11776" width="9" style="23"/>
    <col min="11777" max="11777" width="4.69921875" style="23" customWidth="1"/>
    <col min="11778" max="11778" width="13.19921875" style="23" customWidth="1"/>
    <col min="11779" max="11779" width="11.09765625" style="23" customWidth="1"/>
    <col min="11780" max="11780" width="15.8984375" style="23" customWidth="1"/>
    <col min="11781" max="11781" width="13.59765625" style="23" customWidth="1"/>
    <col min="11782" max="11782" width="9.69921875" style="23" customWidth="1"/>
    <col min="11783" max="11783" width="17.09765625" style="23" customWidth="1"/>
    <col min="11784" max="12032" width="9" style="23"/>
    <col min="12033" max="12033" width="4.69921875" style="23" customWidth="1"/>
    <col min="12034" max="12034" width="13.19921875" style="23" customWidth="1"/>
    <col min="12035" max="12035" width="11.09765625" style="23" customWidth="1"/>
    <col min="12036" max="12036" width="15.8984375" style="23" customWidth="1"/>
    <col min="12037" max="12037" width="13.59765625" style="23" customWidth="1"/>
    <col min="12038" max="12038" width="9.69921875" style="23" customWidth="1"/>
    <col min="12039" max="12039" width="17.09765625" style="23" customWidth="1"/>
    <col min="12040" max="12288" width="9" style="23"/>
    <col min="12289" max="12289" width="4.69921875" style="23" customWidth="1"/>
    <col min="12290" max="12290" width="13.19921875" style="23" customWidth="1"/>
    <col min="12291" max="12291" width="11.09765625" style="23" customWidth="1"/>
    <col min="12292" max="12292" width="15.8984375" style="23" customWidth="1"/>
    <col min="12293" max="12293" width="13.59765625" style="23" customWidth="1"/>
    <col min="12294" max="12294" width="9.69921875" style="23" customWidth="1"/>
    <col min="12295" max="12295" width="17.09765625" style="23" customWidth="1"/>
    <col min="12296" max="12544" width="9" style="23"/>
    <col min="12545" max="12545" width="4.69921875" style="23" customWidth="1"/>
    <col min="12546" max="12546" width="13.19921875" style="23" customWidth="1"/>
    <col min="12547" max="12547" width="11.09765625" style="23" customWidth="1"/>
    <col min="12548" max="12548" width="15.8984375" style="23" customWidth="1"/>
    <col min="12549" max="12549" width="13.59765625" style="23" customWidth="1"/>
    <col min="12550" max="12550" width="9.69921875" style="23" customWidth="1"/>
    <col min="12551" max="12551" width="17.09765625" style="23" customWidth="1"/>
    <col min="12552" max="12800" width="9" style="23"/>
    <col min="12801" max="12801" width="4.69921875" style="23" customWidth="1"/>
    <col min="12802" max="12802" width="13.19921875" style="23" customWidth="1"/>
    <col min="12803" max="12803" width="11.09765625" style="23" customWidth="1"/>
    <col min="12804" max="12804" width="15.8984375" style="23" customWidth="1"/>
    <col min="12805" max="12805" width="13.59765625" style="23" customWidth="1"/>
    <col min="12806" max="12806" width="9.69921875" style="23" customWidth="1"/>
    <col min="12807" max="12807" width="17.09765625" style="23" customWidth="1"/>
    <col min="12808" max="13056" width="9" style="23"/>
    <col min="13057" max="13057" width="4.69921875" style="23" customWidth="1"/>
    <col min="13058" max="13058" width="13.19921875" style="23" customWidth="1"/>
    <col min="13059" max="13059" width="11.09765625" style="23" customWidth="1"/>
    <col min="13060" max="13060" width="15.8984375" style="23" customWidth="1"/>
    <col min="13061" max="13061" width="13.59765625" style="23" customWidth="1"/>
    <col min="13062" max="13062" width="9.69921875" style="23" customWidth="1"/>
    <col min="13063" max="13063" width="17.09765625" style="23" customWidth="1"/>
    <col min="13064" max="13312" width="9" style="23"/>
    <col min="13313" max="13313" width="4.69921875" style="23" customWidth="1"/>
    <col min="13314" max="13314" width="13.19921875" style="23" customWidth="1"/>
    <col min="13315" max="13315" width="11.09765625" style="23" customWidth="1"/>
    <col min="13316" max="13316" width="15.8984375" style="23" customWidth="1"/>
    <col min="13317" max="13317" width="13.59765625" style="23" customWidth="1"/>
    <col min="13318" max="13318" width="9.69921875" style="23" customWidth="1"/>
    <col min="13319" max="13319" width="17.09765625" style="23" customWidth="1"/>
    <col min="13320" max="13568" width="9" style="23"/>
    <col min="13569" max="13569" width="4.69921875" style="23" customWidth="1"/>
    <col min="13570" max="13570" width="13.19921875" style="23" customWidth="1"/>
    <col min="13571" max="13571" width="11.09765625" style="23" customWidth="1"/>
    <col min="13572" max="13572" width="15.8984375" style="23" customWidth="1"/>
    <col min="13573" max="13573" width="13.59765625" style="23" customWidth="1"/>
    <col min="13574" max="13574" width="9.69921875" style="23" customWidth="1"/>
    <col min="13575" max="13575" width="17.09765625" style="23" customWidth="1"/>
    <col min="13576" max="13824" width="9" style="23"/>
    <col min="13825" max="13825" width="4.69921875" style="23" customWidth="1"/>
    <col min="13826" max="13826" width="13.19921875" style="23" customWidth="1"/>
    <col min="13827" max="13827" width="11.09765625" style="23" customWidth="1"/>
    <col min="13828" max="13828" width="15.8984375" style="23" customWidth="1"/>
    <col min="13829" max="13829" width="13.59765625" style="23" customWidth="1"/>
    <col min="13830" max="13830" width="9.69921875" style="23" customWidth="1"/>
    <col min="13831" max="13831" width="17.09765625" style="23" customWidth="1"/>
    <col min="13832" max="14080" width="9" style="23"/>
    <col min="14081" max="14081" width="4.69921875" style="23" customWidth="1"/>
    <col min="14082" max="14082" width="13.19921875" style="23" customWidth="1"/>
    <col min="14083" max="14083" width="11.09765625" style="23" customWidth="1"/>
    <col min="14084" max="14084" width="15.8984375" style="23" customWidth="1"/>
    <col min="14085" max="14085" width="13.59765625" style="23" customWidth="1"/>
    <col min="14086" max="14086" width="9.69921875" style="23" customWidth="1"/>
    <col min="14087" max="14087" width="17.09765625" style="23" customWidth="1"/>
    <col min="14088" max="14336" width="9" style="23"/>
    <col min="14337" max="14337" width="4.69921875" style="23" customWidth="1"/>
    <col min="14338" max="14338" width="13.19921875" style="23" customWidth="1"/>
    <col min="14339" max="14339" width="11.09765625" style="23" customWidth="1"/>
    <col min="14340" max="14340" width="15.8984375" style="23" customWidth="1"/>
    <col min="14341" max="14341" width="13.59765625" style="23" customWidth="1"/>
    <col min="14342" max="14342" width="9.69921875" style="23" customWidth="1"/>
    <col min="14343" max="14343" width="17.09765625" style="23" customWidth="1"/>
    <col min="14344" max="14592" width="9" style="23"/>
    <col min="14593" max="14593" width="4.69921875" style="23" customWidth="1"/>
    <col min="14594" max="14594" width="13.19921875" style="23" customWidth="1"/>
    <col min="14595" max="14595" width="11.09765625" style="23" customWidth="1"/>
    <col min="14596" max="14596" width="15.8984375" style="23" customWidth="1"/>
    <col min="14597" max="14597" width="13.59765625" style="23" customWidth="1"/>
    <col min="14598" max="14598" width="9.69921875" style="23" customWidth="1"/>
    <col min="14599" max="14599" width="17.09765625" style="23" customWidth="1"/>
    <col min="14600" max="14848" width="9" style="23"/>
    <col min="14849" max="14849" width="4.69921875" style="23" customWidth="1"/>
    <col min="14850" max="14850" width="13.19921875" style="23" customWidth="1"/>
    <col min="14851" max="14851" width="11.09765625" style="23" customWidth="1"/>
    <col min="14852" max="14852" width="15.8984375" style="23" customWidth="1"/>
    <col min="14853" max="14853" width="13.59765625" style="23" customWidth="1"/>
    <col min="14854" max="14854" width="9.69921875" style="23" customWidth="1"/>
    <col min="14855" max="14855" width="17.09765625" style="23" customWidth="1"/>
    <col min="14856" max="15104" width="9" style="23"/>
    <col min="15105" max="15105" width="4.69921875" style="23" customWidth="1"/>
    <col min="15106" max="15106" width="13.19921875" style="23" customWidth="1"/>
    <col min="15107" max="15107" width="11.09765625" style="23" customWidth="1"/>
    <col min="15108" max="15108" width="15.8984375" style="23" customWidth="1"/>
    <col min="15109" max="15109" width="13.59765625" style="23" customWidth="1"/>
    <col min="15110" max="15110" width="9.69921875" style="23" customWidth="1"/>
    <col min="15111" max="15111" width="17.09765625" style="23" customWidth="1"/>
    <col min="15112" max="15360" width="9" style="23"/>
    <col min="15361" max="15361" width="4.69921875" style="23" customWidth="1"/>
    <col min="15362" max="15362" width="13.19921875" style="23" customWidth="1"/>
    <col min="15363" max="15363" width="11.09765625" style="23" customWidth="1"/>
    <col min="15364" max="15364" width="15.8984375" style="23" customWidth="1"/>
    <col min="15365" max="15365" width="13.59765625" style="23" customWidth="1"/>
    <col min="15366" max="15366" width="9.69921875" style="23" customWidth="1"/>
    <col min="15367" max="15367" width="17.09765625" style="23" customWidth="1"/>
    <col min="15368" max="15616" width="9" style="23"/>
    <col min="15617" max="15617" width="4.69921875" style="23" customWidth="1"/>
    <col min="15618" max="15618" width="13.19921875" style="23" customWidth="1"/>
    <col min="15619" max="15619" width="11.09765625" style="23" customWidth="1"/>
    <col min="15620" max="15620" width="15.8984375" style="23" customWidth="1"/>
    <col min="15621" max="15621" width="13.59765625" style="23" customWidth="1"/>
    <col min="15622" max="15622" width="9.69921875" style="23" customWidth="1"/>
    <col min="15623" max="15623" width="17.09765625" style="23" customWidth="1"/>
    <col min="15624" max="15872" width="9" style="23"/>
    <col min="15873" max="15873" width="4.69921875" style="23" customWidth="1"/>
    <col min="15874" max="15874" width="13.19921875" style="23" customWidth="1"/>
    <col min="15875" max="15875" width="11.09765625" style="23" customWidth="1"/>
    <col min="15876" max="15876" width="15.8984375" style="23" customWidth="1"/>
    <col min="15877" max="15877" width="13.59765625" style="23" customWidth="1"/>
    <col min="15878" max="15878" width="9.69921875" style="23" customWidth="1"/>
    <col min="15879" max="15879" width="17.09765625" style="23" customWidth="1"/>
    <col min="15880" max="16128" width="9" style="23"/>
    <col min="16129" max="16129" width="4.69921875" style="23" customWidth="1"/>
    <col min="16130" max="16130" width="13.19921875" style="23" customWidth="1"/>
    <col min="16131" max="16131" width="11.09765625" style="23" customWidth="1"/>
    <col min="16132" max="16132" width="15.8984375" style="23" customWidth="1"/>
    <col min="16133" max="16133" width="13.59765625" style="23" customWidth="1"/>
    <col min="16134" max="16134" width="9.69921875" style="23" customWidth="1"/>
    <col min="16135" max="16135" width="17.09765625" style="23" customWidth="1"/>
    <col min="16136" max="16384" width="9" style="23"/>
  </cols>
  <sheetData>
    <row r="1" spans="1:7" ht="21.8" customHeight="1">
      <c r="A1" s="378" t="s">
        <v>232</v>
      </c>
      <c r="B1" s="379"/>
      <c r="C1" s="379"/>
      <c r="D1" s="379"/>
      <c r="E1" s="379"/>
      <c r="F1" s="379"/>
      <c r="G1" s="379"/>
    </row>
    <row r="2" spans="1:7" s="21" customFormat="1" ht="18" customHeight="1">
      <c r="A2" s="22"/>
      <c r="B2" s="22"/>
      <c r="C2" s="22"/>
      <c r="D2" s="380" t="str">
        <f>"建设工程交易编号 ："&amp;链接表!B1</f>
        <v>建设工程交易编号 ：12018094</v>
      </c>
      <c r="E2" s="380"/>
      <c r="F2" s="380"/>
      <c r="G2" s="380"/>
    </row>
    <row r="3" spans="1:7" s="21" customFormat="1" ht="23.3" customHeight="1">
      <c r="A3" s="381" t="s">
        <v>161</v>
      </c>
      <c r="B3" s="382"/>
      <c r="C3" s="381" t="str">
        <f>链接表!B5</f>
        <v>信宜市旅游投资发展有限公司</v>
      </c>
      <c r="D3" s="382"/>
      <c r="E3" s="382"/>
      <c r="F3" s="382"/>
      <c r="G3" s="382"/>
    </row>
    <row r="4" spans="1:7" s="21" customFormat="1" ht="23.3" customHeight="1">
      <c r="A4" s="381" t="s">
        <v>162</v>
      </c>
      <c r="B4" s="382"/>
      <c r="C4" s="381" t="str">
        <f>链接表!B4</f>
        <v>信宜市绿道二期EPC项目</v>
      </c>
      <c r="D4" s="382"/>
      <c r="E4" s="382"/>
      <c r="F4" s="382"/>
      <c r="G4" s="382"/>
    </row>
    <row r="5" spans="1:7" s="21" customFormat="1" ht="53.25" customHeight="1">
      <c r="A5" s="381" t="s">
        <v>163</v>
      </c>
      <c r="B5" s="382"/>
      <c r="C5" s="383" t="str">
        <f>链接表!B15</f>
        <v>本项目主要建设信宜绿道、旺同公园及沙滩公园等工程，项目总投资为15149.86万元,其中建安费为12978.59万元，设计费为532.72万元。</v>
      </c>
      <c r="D5" s="384"/>
      <c r="E5" s="384"/>
      <c r="F5" s="384"/>
      <c r="G5" s="385"/>
    </row>
    <row r="6" spans="1:7" s="21" customFormat="1" ht="27.7" customHeight="1">
      <c r="A6" s="381" t="s">
        <v>53</v>
      </c>
      <c r="B6" s="382"/>
      <c r="C6" s="381" t="str">
        <f>链接表!B2</f>
        <v>工程施工</v>
      </c>
      <c r="D6" s="382"/>
      <c r="E6" s="24" t="s">
        <v>164</v>
      </c>
      <c r="F6" s="381" t="str">
        <f>链接表!B3</f>
        <v>公开招标</v>
      </c>
      <c r="G6" s="382"/>
    </row>
    <row r="7" spans="1:7" s="21" customFormat="1" ht="25.6" customHeight="1">
      <c r="A7" s="381" t="s">
        <v>165</v>
      </c>
      <c r="B7" s="382"/>
      <c r="C7" s="381" t="str">
        <f>链接表!B6</f>
        <v>深圳群伦项目管理有限公司</v>
      </c>
      <c r="D7" s="382"/>
      <c r="E7" s="382"/>
      <c r="F7" s="382"/>
      <c r="G7" s="382"/>
    </row>
    <row r="8" spans="1:7" s="21" customFormat="1" ht="25.6" customHeight="1">
      <c r="A8" s="381" t="s">
        <v>166</v>
      </c>
      <c r="B8" s="382"/>
      <c r="C8" s="382" t="str">
        <f>链接表!B9</f>
        <v>2018年8月8日9时30分</v>
      </c>
      <c r="D8" s="382"/>
      <c r="E8" s="382"/>
      <c r="F8" s="382"/>
      <c r="G8" s="382"/>
    </row>
    <row r="9" spans="1:7" s="21" customFormat="1" ht="25.6" customHeight="1">
      <c r="A9" s="392" t="s">
        <v>167</v>
      </c>
      <c r="B9" s="24" t="s">
        <v>168</v>
      </c>
      <c r="C9" s="381" t="str">
        <f>中标候选人!B7</f>
        <v>广东省002某某工程股份有限公司</v>
      </c>
      <c r="D9" s="382"/>
      <c r="E9" s="382"/>
      <c r="F9" s="382"/>
      <c r="G9" s="382"/>
    </row>
    <row r="10" spans="1:7" s="21" customFormat="1" ht="29.65" customHeight="1">
      <c r="A10" s="382"/>
      <c r="B10" s="25" t="s">
        <v>157</v>
      </c>
      <c r="C10" s="376" t="str">
        <f>"设计投标报价下浮率："&amp;TEXT(中标候选人!C7,"0.00%")&amp;CHAR(10)&amp;"建安投标报价下浮率："&amp;TEXT(中标候选人!D7,"0.00%")</f>
        <v>设计投标报价下浮率：12.00%
建安投标报价下浮率：7.00%</v>
      </c>
      <c r="D10" s="377"/>
      <c r="E10" s="25" t="s">
        <v>169</v>
      </c>
      <c r="F10" s="399" t="str">
        <f>链接表!B21</f>
        <v>设计工期50日历天，施工工期210日历天</v>
      </c>
      <c r="G10" s="400"/>
    </row>
    <row r="11" spans="1:7" s="21" customFormat="1" ht="27.7" customHeight="1">
      <c r="A11" s="382"/>
      <c r="B11" s="24" t="s">
        <v>170</v>
      </c>
      <c r="C11" s="24" t="s">
        <v>54</v>
      </c>
      <c r="D11" s="24" t="s">
        <v>171</v>
      </c>
      <c r="E11" s="24" t="s">
        <v>172</v>
      </c>
      <c r="F11" s="381" t="s">
        <v>173</v>
      </c>
      <c r="G11" s="382"/>
    </row>
    <row r="12" spans="1:7" s="22" customFormat="1" ht="28.45" customHeight="1">
      <c r="A12" s="382"/>
      <c r="B12" s="25" t="s">
        <v>76</v>
      </c>
      <c r="C12" s="203" t="s">
        <v>85</v>
      </c>
      <c r="D12" s="204" t="s">
        <v>174</v>
      </c>
      <c r="E12" s="203" t="s">
        <v>175</v>
      </c>
      <c r="F12" s="401" t="s">
        <v>141</v>
      </c>
      <c r="G12" s="402"/>
    </row>
    <row r="13" spans="1:7" s="22" customFormat="1" ht="28.45" customHeight="1">
      <c r="A13" s="382"/>
      <c r="B13" s="25" t="s">
        <v>176</v>
      </c>
      <c r="C13" s="203" t="s">
        <v>177</v>
      </c>
      <c r="D13" s="205" t="s">
        <v>178</v>
      </c>
      <c r="E13" s="203" t="s">
        <v>179</v>
      </c>
      <c r="F13" s="401" t="s">
        <v>141</v>
      </c>
      <c r="G13" s="402"/>
    </row>
    <row r="14" spans="1:7" s="21" customFormat="1" ht="62.35" customHeight="1">
      <c r="A14" s="382"/>
      <c r="B14" s="24" t="s">
        <v>180</v>
      </c>
      <c r="C14" s="394" t="str">
        <f>链接表!B16</f>
        <v>设计质量要求：符合勘察设计规范要求。
施工质量要求：必须达到《建设工程施工质量验收统一标准》等现行验收规范和工程质量检验评定标准合格及以上。
文明施工安全要求：合格及以上。</v>
      </c>
      <c r="D14" s="395"/>
      <c r="E14" s="395"/>
      <c r="F14" s="395"/>
      <c r="G14" s="396"/>
    </row>
    <row r="15" spans="1:7" s="21" customFormat="1" ht="30.25" customHeight="1">
      <c r="A15" s="392" t="s">
        <v>181</v>
      </c>
      <c r="B15" s="24" t="s">
        <v>182</v>
      </c>
      <c r="C15" s="381" t="s">
        <v>183</v>
      </c>
      <c r="D15" s="382"/>
      <c r="E15" s="24" t="s">
        <v>184</v>
      </c>
      <c r="F15" s="25" t="s">
        <v>76</v>
      </c>
      <c r="G15" s="25" t="s">
        <v>185</v>
      </c>
    </row>
    <row r="16" spans="1:7" s="21" customFormat="1" ht="47.8" customHeight="1">
      <c r="A16" s="393"/>
      <c r="B16" s="25" t="s">
        <v>186</v>
      </c>
      <c r="C16" s="397" t="str">
        <f>中标候选人!B4</f>
        <v>广东省002某某工程股份有限公司</v>
      </c>
      <c r="D16" s="398"/>
      <c r="E16" s="208" t="str">
        <f>"设计投标报价下浮率："&amp;TEXT(中标候选人!C4,"0.00%")&amp;CHAR(10)&amp;"建安投标报价下浮率："&amp;TEXT(中标候选人!D4,"0.00%")</f>
        <v>设计投标报价下浮率：12.00%
建安投标报价下浮率：7.00%</v>
      </c>
      <c r="F16" s="209" t="s">
        <v>85</v>
      </c>
      <c r="G16" s="204" t="s">
        <v>174</v>
      </c>
    </row>
    <row r="17" spans="1:7" s="21" customFormat="1" ht="47.8" customHeight="1">
      <c r="A17" s="393"/>
      <c r="B17" s="25" t="s">
        <v>187</v>
      </c>
      <c r="C17" s="397" t="str">
        <f>中标候选人!B5</f>
        <v>广东省001某某工程股份有限公司</v>
      </c>
      <c r="D17" s="398"/>
      <c r="E17" s="208" t="str">
        <f>"设计投标报价下浮率："&amp;TEXT(中标候选人!C5,"0.00%")&amp;CHAR(10)&amp;"建安投标报价下浮率："&amp;TEXT(中标候选人!D5,"0.00%")</f>
        <v>设计投标报价下浮率：10.00%
建安投标报价下浮率：6.00%</v>
      </c>
      <c r="F17" s="209" t="s">
        <v>87</v>
      </c>
      <c r="G17" s="204" t="s">
        <v>188</v>
      </c>
    </row>
    <row r="18" spans="1:7" s="21" customFormat="1" ht="47.8" customHeight="1">
      <c r="A18" s="393"/>
      <c r="B18" s="25" t="s">
        <v>189</v>
      </c>
      <c r="C18" s="397" t="str">
        <f>中标候选人!B6</f>
        <v>广东省006某某工程股份有限公司</v>
      </c>
      <c r="D18" s="398"/>
      <c r="E18" s="208" t="str">
        <f>"设计投标报价下浮率："&amp;TEXT(中标候选人!C6,"0.00%")&amp;CHAR(10)&amp;"建安投标报价下浮率："&amp;TEXT(中标候选人!D6,"0.00%")</f>
        <v>设计投标报价下浮率：11.00%
建安投标报价下浮率：11.00%</v>
      </c>
      <c r="F18" s="209" t="s">
        <v>86</v>
      </c>
      <c r="G18" s="205" t="s">
        <v>190</v>
      </c>
    </row>
    <row r="19" spans="1:7" s="21" customFormat="1" ht="29.2" customHeight="1">
      <c r="A19" s="381" t="s">
        <v>191</v>
      </c>
      <c r="B19" s="386"/>
      <c r="C19" s="386" t="str">
        <f>链接表!B17</f>
        <v>2018年8月9日至2018年8月13日</v>
      </c>
      <c r="D19" s="386"/>
      <c r="E19" s="386"/>
      <c r="F19" s="386"/>
      <c r="G19" s="386"/>
    </row>
    <row r="20" spans="1:7" s="21" customFormat="1" ht="54" customHeight="1">
      <c r="A20" s="387" t="str">
        <f>"招标单位（盖章）"&amp;CHAR(10)&amp;TEXT(链接表!B7,"yyyy年m月d日")</f>
        <v>招标单位（盖章）
2018年8月8日</v>
      </c>
      <c r="B20" s="388"/>
      <c r="C20" s="388"/>
      <c r="D20" s="388"/>
      <c r="E20" s="388"/>
      <c r="F20" s="388"/>
      <c r="G20" s="389"/>
    </row>
    <row r="21" spans="1:7" ht="171.85" customHeight="1">
      <c r="A21" s="390" t="str">
        <f>"根据《中华人民共和国招标投标法实施条例》第五十四条、第六十条等规定和国家七部委《工程建设项目招标投标活动投诉处理办法》的有关规定（七部委第11号令，2004年6月21日颁布）受理投诉。投标人或其他利害关系人对该公示内容有异议的，应当在中标候选人公示期间向招标人提出，招标人应当受到异议之日起3日内作出书面答复，作出答复前，应当暂停招标投标活动，对招标人答复仍持有异议的，应当在收到答复之日起十日内持招标人的答复及投诉书，向招标投标监督部门提出投诉。
    评审结果见附件。 
    异议受理部门：
    "&amp;链接表!B5&amp;"（招标人）("&amp;链接表!B25&amp;"  "&amp;链接表!B24&amp;"  电话:"&amp;链接表!B26&amp;")
    投诉受理部门
    信宜市纪委党风政风监督室(信宜市国税局十二楼 电话:8898262)
    "&amp;链接表!B29&amp;"("&amp;链接表!B30&amp;"  电话:"&amp;链接表!B31&amp;")"</f>
        <v>根据《中华人民共和国招标投标法实施条例》第五十四条、第六十条等规定和国家七部委《工程建设项目招标投标活动投诉处理办法》的有关规定（七部委第11号令，2004年6月21日颁布）受理投诉。投标人或其他利害关系人对该公示内容有异议的，应当在中标候选人公示期间向招标人提出，招标人应当受到异议之日起3日内作出书面答复，作出答复前，应当暂停招标投标活动，对招标人答复仍持有异议的，应当在收到答复之日起十日内持招标人的答复及投诉书，向招标投标监督部门提出投诉。
    评审结果见附件。 
    异议受理部门：
    信宜市旅游投资发展有限公司（招标人）(信宜市东镇新尚路2号2楼  伍工  电话:13376681356)
    投诉受理部门
    信宜市纪委党风政风监督室(信宜市国税局十二楼 电话:8898262)
    信宜市建设工程招标投标领导小组办公室(信宜市住建局四楼办公室  电话:0668-8813024)</v>
      </c>
      <c r="B21" s="391"/>
      <c r="C21" s="391"/>
      <c r="D21" s="391"/>
      <c r="E21" s="391"/>
      <c r="F21" s="391"/>
      <c r="G21" s="391"/>
    </row>
    <row r="22" spans="1:7">
      <c r="A22" s="26"/>
      <c r="B22" s="26"/>
      <c r="C22" s="26"/>
      <c r="D22" s="26"/>
      <c r="E22" s="26"/>
      <c r="F22" s="26"/>
      <c r="G22" s="26"/>
    </row>
    <row r="23" spans="1:7">
      <c r="A23" s="26"/>
      <c r="B23" s="26"/>
      <c r="C23" s="26"/>
      <c r="D23" s="26"/>
      <c r="E23" s="26"/>
      <c r="F23" s="26"/>
      <c r="G23" s="26"/>
    </row>
    <row r="24" spans="1:7">
      <c r="A24" s="26"/>
      <c r="B24" s="26"/>
      <c r="C24" s="26"/>
      <c r="D24" s="26"/>
      <c r="E24" s="26"/>
      <c r="F24" s="26"/>
      <c r="G24" s="26"/>
    </row>
    <row r="25" spans="1:7">
      <c r="A25" s="26"/>
      <c r="B25" s="26"/>
      <c r="C25" s="26"/>
      <c r="D25" s="26"/>
      <c r="E25" s="26"/>
      <c r="F25" s="26"/>
      <c r="G25" s="26"/>
    </row>
    <row r="26" spans="1:7">
      <c r="A26" s="26"/>
      <c r="B26" s="26"/>
      <c r="C26" s="26"/>
      <c r="D26" s="26"/>
      <c r="E26" s="26"/>
      <c r="F26" s="26"/>
      <c r="G26" s="26"/>
    </row>
    <row r="27" spans="1:7">
      <c r="A27" s="26"/>
      <c r="B27" s="26"/>
      <c r="C27" s="26"/>
      <c r="D27" s="26"/>
      <c r="E27" s="26"/>
      <c r="F27" s="26"/>
      <c r="G27" s="26"/>
    </row>
    <row r="28" spans="1:7">
      <c r="A28" s="26"/>
      <c r="B28" s="26"/>
      <c r="C28" s="26"/>
      <c r="D28" s="26"/>
      <c r="E28" s="26"/>
      <c r="F28" s="26"/>
      <c r="G28" s="26"/>
    </row>
    <row r="29" spans="1:7">
      <c r="A29" s="26"/>
      <c r="B29" s="26"/>
      <c r="C29" s="26"/>
      <c r="D29" s="26"/>
      <c r="E29" s="26"/>
      <c r="F29" s="26"/>
      <c r="G29" s="26"/>
    </row>
    <row r="30" spans="1:7">
      <c r="A30" s="26"/>
      <c r="B30" s="26"/>
      <c r="C30" s="26"/>
      <c r="D30" s="26"/>
      <c r="E30" s="26"/>
      <c r="F30" s="26"/>
      <c r="G30" s="26"/>
    </row>
    <row r="31" spans="1:7">
      <c r="A31" s="26"/>
      <c r="B31" s="26"/>
      <c r="C31" s="26"/>
      <c r="D31" s="26"/>
      <c r="E31" s="26"/>
      <c r="F31" s="26"/>
      <c r="G31" s="26"/>
    </row>
    <row r="32" spans="1:7">
      <c r="A32" s="26"/>
      <c r="B32" s="26"/>
      <c r="C32" s="26"/>
      <c r="D32" s="26"/>
      <c r="E32" s="26"/>
      <c r="F32" s="26"/>
      <c r="G32" s="26"/>
    </row>
    <row r="33" spans="1:7">
      <c r="A33" s="26"/>
      <c r="B33" s="26"/>
      <c r="C33" s="26"/>
      <c r="D33" s="26"/>
      <c r="E33" s="26"/>
      <c r="F33" s="26"/>
      <c r="G33" s="26"/>
    </row>
    <row r="34" spans="1:7">
      <c r="A34" s="26"/>
      <c r="B34" s="26"/>
      <c r="C34" s="26"/>
      <c r="D34" s="26"/>
      <c r="E34" s="26"/>
      <c r="F34" s="26"/>
      <c r="G34" s="26"/>
    </row>
    <row r="35" spans="1:7">
      <c r="A35" s="26"/>
      <c r="B35" s="26"/>
      <c r="C35" s="26"/>
      <c r="D35" s="26"/>
      <c r="E35" s="26"/>
      <c r="F35" s="26"/>
      <c r="G35" s="26"/>
    </row>
    <row r="36" spans="1:7">
      <c r="A36" s="26"/>
      <c r="B36" s="26"/>
      <c r="C36" s="26"/>
      <c r="D36" s="26"/>
      <c r="E36" s="26"/>
      <c r="F36" s="26"/>
      <c r="G36" s="26"/>
    </row>
    <row r="37" spans="1:7">
      <c r="A37" s="26"/>
      <c r="B37" s="26"/>
      <c r="C37" s="26"/>
      <c r="D37" s="26"/>
      <c r="E37" s="26"/>
      <c r="F37" s="26"/>
      <c r="G37" s="26"/>
    </row>
    <row r="38" spans="1:7">
      <c r="A38" s="26"/>
      <c r="B38" s="26"/>
      <c r="C38" s="26"/>
      <c r="D38" s="26"/>
      <c r="E38" s="26"/>
      <c r="F38" s="26"/>
      <c r="G38" s="26"/>
    </row>
    <row r="39" spans="1:7">
      <c r="A39" s="26"/>
      <c r="B39" s="26"/>
      <c r="C39" s="26"/>
      <c r="D39" s="26"/>
      <c r="E39" s="26"/>
      <c r="F39" s="26"/>
      <c r="G39" s="26"/>
    </row>
    <row r="40" spans="1:7">
      <c r="A40" s="26"/>
      <c r="B40" s="26"/>
      <c r="C40" s="26"/>
      <c r="D40" s="26"/>
      <c r="E40" s="26"/>
      <c r="F40" s="26"/>
      <c r="G40" s="26"/>
    </row>
    <row r="41" spans="1:7">
      <c r="A41" s="26"/>
      <c r="B41" s="26"/>
      <c r="C41" s="26"/>
      <c r="D41" s="26"/>
      <c r="E41" s="26"/>
      <c r="F41" s="26"/>
      <c r="G41" s="26"/>
    </row>
    <row r="42" spans="1:7">
      <c r="A42" s="26"/>
      <c r="B42" s="26"/>
      <c r="C42" s="26"/>
      <c r="D42" s="26"/>
      <c r="E42" s="26"/>
      <c r="F42" s="26"/>
      <c r="G42" s="26"/>
    </row>
    <row r="43" spans="1:7">
      <c r="A43" s="26"/>
      <c r="B43" s="26"/>
      <c r="C43" s="26"/>
      <c r="D43" s="26"/>
      <c r="E43" s="26"/>
      <c r="F43" s="26"/>
      <c r="G43" s="26"/>
    </row>
    <row r="44" spans="1:7">
      <c r="A44" s="26"/>
      <c r="B44" s="26"/>
      <c r="C44" s="26"/>
      <c r="D44" s="26"/>
      <c r="E44" s="26"/>
      <c r="F44" s="26"/>
      <c r="G44" s="26"/>
    </row>
    <row r="45" spans="1:7">
      <c r="A45" s="26"/>
      <c r="B45" s="26"/>
      <c r="C45" s="26"/>
      <c r="D45" s="26"/>
      <c r="E45" s="26"/>
      <c r="F45" s="26"/>
      <c r="G45" s="26"/>
    </row>
    <row r="46" spans="1:7">
      <c r="A46" s="26"/>
      <c r="B46" s="26"/>
      <c r="C46" s="26"/>
      <c r="D46" s="26"/>
      <c r="E46" s="26"/>
      <c r="F46" s="26"/>
      <c r="G46" s="26"/>
    </row>
    <row r="47" spans="1:7">
      <c r="A47" s="26"/>
      <c r="B47" s="26"/>
      <c r="C47" s="26"/>
      <c r="D47" s="26"/>
      <c r="E47" s="26"/>
      <c r="F47" s="26"/>
      <c r="G47" s="26"/>
    </row>
    <row r="48" spans="1:7">
      <c r="A48" s="26"/>
      <c r="B48" s="26"/>
      <c r="C48" s="26"/>
      <c r="D48" s="26"/>
      <c r="E48" s="26"/>
      <c r="F48" s="26"/>
      <c r="G48" s="26"/>
    </row>
    <row r="49" spans="1:7">
      <c r="A49" s="26"/>
      <c r="B49" s="26"/>
      <c r="C49" s="26"/>
      <c r="D49" s="26"/>
      <c r="E49" s="26"/>
      <c r="F49" s="26"/>
      <c r="G49" s="26"/>
    </row>
    <row r="50" spans="1:7">
      <c r="A50" s="26"/>
      <c r="B50" s="26"/>
      <c r="C50" s="26"/>
      <c r="D50" s="26"/>
      <c r="E50" s="26"/>
      <c r="F50" s="26"/>
      <c r="G50" s="26"/>
    </row>
    <row r="51" spans="1:7">
      <c r="A51" s="26"/>
      <c r="B51" s="26"/>
      <c r="C51" s="26"/>
      <c r="D51" s="26"/>
      <c r="E51" s="26"/>
      <c r="F51" s="26"/>
      <c r="G51" s="26"/>
    </row>
  </sheetData>
  <mergeCells count="32">
    <mergeCell ref="A19:B19"/>
    <mergeCell ref="C19:G19"/>
    <mergeCell ref="A20:G20"/>
    <mergeCell ref="A21:G21"/>
    <mergeCell ref="A9:A14"/>
    <mergeCell ref="A15:A18"/>
    <mergeCell ref="C14:G14"/>
    <mergeCell ref="C15:D15"/>
    <mergeCell ref="C16:D16"/>
    <mergeCell ref="C17:D17"/>
    <mergeCell ref="C18:D18"/>
    <mergeCell ref="C10:D10"/>
    <mergeCell ref="F10:G10"/>
    <mergeCell ref="F11:G11"/>
    <mergeCell ref="F12:G12"/>
    <mergeCell ref="F13:G13"/>
    <mergeCell ref="A7:B7"/>
    <mergeCell ref="C7:G7"/>
    <mergeCell ref="A8:B8"/>
    <mergeCell ref="C8:G8"/>
    <mergeCell ref="C9:G9"/>
    <mergeCell ref="A5:B5"/>
    <mergeCell ref="C5:G5"/>
    <mergeCell ref="A6:B6"/>
    <mergeCell ref="C6:D6"/>
    <mergeCell ref="F6:G6"/>
    <mergeCell ref="A1:G1"/>
    <mergeCell ref="D2:G2"/>
    <mergeCell ref="A3:B3"/>
    <mergeCell ref="C3:G3"/>
    <mergeCell ref="A4:B4"/>
    <mergeCell ref="C4:G4"/>
  </mergeCells>
  <phoneticPr fontId="110" type="noConversion"/>
  <printOptions horizontalCentered="1"/>
  <pageMargins left="0.17" right="0.17" top="0.196527777777778" bottom="0.196527777777778" header="0.118055555555556" footer="0.118055555555556"/>
  <pageSetup paperSize="9" scale="97"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15"/>
  <sheetViews>
    <sheetView view="pageBreakPreview" topLeftCell="A10" zoomScale="115" zoomScaleNormal="100" zoomScaleSheetLayoutView="115" workbookViewId="0">
      <selection activeCell="A5" sqref="A5:F5"/>
    </sheetView>
  </sheetViews>
  <sheetFormatPr defaultColWidth="9" defaultRowHeight="15.75"/>
  <cols>
    <col min="1" max="1" width="7.19921875" style="18" customWidth="1"/>
    <col min="2" max="2" width="12.69921875" style="18" customWidth="1"/>
    <col min="3" max="3" width="9" style="18"/>
    <col min="4" max="4" width="16.19921875" style="18" customWidth="1"/>
    <col min="5" max="5" width="17.69921875" style="18" customWidth="1"/>
    <col min="6" max="6" width="14.8984375" style="18" customWidth="1"/>
    <col min="7" max="16384" width="9" style="18"/>
  </cols>
  <sheetData>
    <row r="1" spans="1:8" ht="43" customHeight="1">
      <c r="A1" s="403" t="s">
        <v>192</v>
      </c>
      <c r="B1" s="403"/>
      <c r="C1" s="403"/>
      <c r="D1" s="403"/>
      <c r="E1" s="403"/>
      <c r="F1" s="403"/>
    </row>
    <row r="2" spans="1:8" ht="33.6" customHeight="1">
      <c r="A2" s="404" t="str">
        <f>链接表!A4&amp;链接表!B4</f>
        <v>项目名称：信宜市绿道二期EPC项目</v>
      </c>
      <c r="B2" s="404"/>
      <c r="C2" s="404"/>
      <c r="D2" s="404"/>
      <c r="E2" s="404"/>
      <c r="F2" s="404"/>
    </row>
    <row r="3" spans="1:8" ht="32.700000000000003" customHeight="1">
      <c r="A3" s="405" t="str">
        <f>链接表!A5&amp;链接表!B5&amp;"  联系人："&amp;链接表!B24&amp;"   联系电话："&amp;链接表!B26</f>
        <v>招标人：信宜市旅游投资发展有限公司  联系人：伍工   联系电话：13376681356</v>
      </c>
      <c r="B3" s="405"/>
      <c r="C3" s="405"/>
      <c r="D3" s="405"/>
      <c r="E3" s="405"/>
      <c r="F3" s="405"/>
    </row>
    <row r="4" spans="1:8" ht="39.049999999999997" customHeight="1">
      <c r="A4" s="404" t="str">
        <f>链接表!A6&amp;链接表!B6&amp;"  联系人："&amp;链接表!B27&amp;"    联系电话："&amp;链接表!B28</f>
        <v>招标代理：深圳群伦项目管理有限公司  联系人：韦小姐    联系电话：0668-8829113</v>
      </c>
      <c r="B4" s="404"/>
      <c r="C4" s="404"/>
      <c r="D4" s="404"/>
      <c r="E4" s="404"/>
      <c r="F4" s="404"/>
    </row>
    <row r="5" spans="1:8" ht="35.4" customHeight="1">
      <c r="A5" s="405" t="str">
        <f>"评标类型:"&amp;链接表!B2</f>
        <v>评标类型:工程施工</v>
      </c>
      <c r="B5" s="405"/>
      <c r="C5" s="405"/>
      <c r="D5" s="405"/>
      <c r="E5" s="405"/>
      <c r="F5" s="405"/>
    </row>
    <row r="6" spans="1:8" ht="35.4" customHeight="1">
      <c r="A6" s="407" t="str">
        <f>链接表!A10&amp;链接表!B10&amp;"      "&amp;链接表!A11&amp;链接表!B11</f>
        <v>评标开始时间: 2018年8月8日11时30分      评标结束时间：2018年8月8日14时30分</v>
      </c>
      <c r="B6" s="407"/>
      <c r="C6" s="407"/>
      <c r="D6" s="407"/>
      <c r="E6" s="407"/>
      <c r="F6" s="407"/>
    </row>
    <row r="7" spans="1:8" ht="42.05" customHeight="1">
      <c r="A7" s="19" t="s">
        <v>26</v>
      </c>
      <c r="B7" s="19" t="s">
        <v>193</v>
      </c>
      <c r="C7" s="19" t="s">
        <v>194</v>
      </c>
      <c r="D7" s="19" t="s">
        <v>195</v>
      </c>
      <c r="E7" s="19" t="s">
        <v>196</v>
      </c>
      <c r="F7" s="19" t="s">
        <v>35</v>
      </c>
    </row>
    <row r="8" spans="1:8" ht="34.5" customHeight="1">
      <c r="A8" s="19">
        <v>1</v>
      </c>
      <c r="B8" s="19" t="str">
        <f>评标报告!C27</f>
        <v>杜颖</v>
      </c>
      <c r="C8" s="19" t="s">
        <v>197</v>
      </c>
      <c r="D8" s="20"/>
      <c r="E8" s="19"/>
      <c r="F8" s="19"/>
      <c r="H8" s="217"/>
    </row>
    <row r="9" spans="1:8" ht="34.5" customHeight="1">
      <c r="A9" s="19">
        <v>2</v>
      </c>
      <c r="B9" s="212" t="str">
        <f ca="1">OFFSET(评标报告!$A$25,0,ROW(A1))</f>
        <v>黄祥溪</v>
      </c>
      <c r="C9" s="19" t="s">
        <v>198</v>
      </c>
      <c r="D9" s="20"/>
      <c r="E9" s="19"/>
      <c r="F9" s="19"/>
      <c r="H9" s="217"/>
    </row>
    <row r="10" spans="1:8" ht="34.5" customHeight="1">
      <c r="A10" s="19">
        <v>3</v>
      </c>
      <c r="B10" s="212" t="str">
        <f ca="1">OFFSET(评标报告!$A$25,0,ROW(A2))</f>
        <v>吴丽</v>
      </c>
      <c r="C10" s="19" t="s">
        <v>198</v>
      </c>
      <c r="D10" s="20"/>
      <c r="E10" s="19"/>
      <c r="F10" s="19"/>
      <c r="H10" s="217"/>
    </row>
    <row r="11" spans="1:8" ht="34.5" customHeight="1">
      <c r="A11" s="19">
        <v>4</v>
      </c>
      <c r="B11" s="212" t="str">
        <f ca="1">OFFSET(评标报告!$A$25,0,ROW(A3))</f>
        <v>卢海玲</v>
      </c>
      <c r="C11" s="19" t="s">
        <v>198</v>
      </c>
      <c r="D11" s="20"/>
      <c r="E11" s="19"/>
      <c r="F11" s="19"/>
    </row>
    <row r="12" spans="1:8" ht="34.5" customHeight="1">
      <c r="A12" s="19">
        <v>5</v>
      </c>
      <c r="B12" s="212" t="str">
        <f ca="1">OFFSET(评标报告!$A$25,0,ROW(A4))</f>
        <v>杨春红</v>
      </c>
      <c r="C12" s="19" t="s">
        <v>198</v>
      </c>
      <c r="D12" s="20"/>
      <c r="E12" s="19"/>
      <c r="F12" s="19"/>
    </row>
    <row r="13" spans="1:8" ht="34.5" customHeight="1">
      <c r="A13" s="408" t="s">
        <v>199</v>
      </c>
      <c r="B13" s="408"/>
      <c r="C13" s="408"/>
      <c r="D13" s="409" t="str">
        <f>IF(SUM(D8:D12)=0,"",SUM(D8:D12))</f>
        <v/>
      </c>
      <c r="E13" s="410"/>
      <c r="F13" s="411"/>
    </row>
    <row r="14" spans="1:8" ht="42.05" customHeight="1">
      <c r="A14" s="412" t="s">
        <v>200</v>
      </c>
      <c r="B14" s="412"/>
      <c r="C14" s="412"/>
      <c r="D14" s="412"/>
      <c r="E14" s="412" t="s">
        <v>201</v>
      </c>
      <c r="F14" s="412"/>
    </row>
    <row r="15" spans="1:8" ht="32.25" customHeight="1">
      <c r="A15" s="406" t="s">
        <v>202</v>
      </c>
      <c r="B15" s="406"/>
      <c r="C15" s="406"/>
      <c r="D15" s="406"/>
      <c r="E15" s="406"/>
      <c r="F15" s="406"/>
    </row>
  </sheetData>
  <mergeCells count="11">
    <mergeCell ref="A15:F15"/>
    <mergeCell ref="A6:F6"/>
    <mergeCell ref="A13:C13"/>
    <mergeCell ref="D13:F13"/>
    <mergeCell ref="A14:D14"/>
    <mergeCell ref="E14:F14"/>
    <mergeCell ref="A1:F1"/>
    <mergeCell ref="A2:F2"/>
    <mergeCell ref="A3:F3"/>
    <mergeCell ref="A4:F4"/>
    <mergeCell ref="A5:F5"/>
  </mergeCells>
  <phoneticPr fontId="110" type="noConversion"/>
  <printOptions horizontalCentered="1"/>
  <pageMargins left="0.70866141732283472" right="0.59055118110236227" top="0.74803149606299213" bottom="0.74803149606299213" header="0.31496062992125984" footer="0.31496062992125984"/>
  <pageSetup paperSize="9"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E34"/>
  <sheetViews>
    <sheetView tabSelected="1" view="pageBreakPreview" topLeftCell="A13" zoomScale="85" zoomScaleNormal="85" zoomScaleSheetLayoutView="85" workbookViewId="0">
      <selection activeCell="D21" sqref="D21"/>
    </sheetView>
  </sheetViews>
  <sheetFormatPr defaultColWidth="9" defaultRowHeight="15.75"/>
  <cols>
    <col min="1" max="1" width="35" style="1" customWidth="1"/>
    <col min="2" max="2" width="15.8984375" style="1" customWidth="1"/>
    <col min="3" max="3" width="26.5" style="1" customWidth="1"/>
    <col min="4" max="4" width="16.19921875" style="1" customWidth="1"/>
    <col min="5" max="255" width="9" style="1"/>
    <col min="256" max="256" width="33.69921875" style="1" customWidth="1"/>
    <col min="257" max="257" width="9" style="1"/>
    <col min="258" max="258" width="14.5" style="1" customWidth="1"/>
    <col min="259" max="259" width="12.69921875" style="1" customWidth="1"/>
    <col min="260" max="511" width="9" style="1"/>
    <col min="512" max="512" width="33.69921875" style="1" customWidth="1"/>
    <col min="513" max="513" width="9" style="1"/>
    <col min="514" max="514" width="14.5" style="1" customWidth="1"/>
    <col min="515" max="515" width="12.69921875" style="1" customWidth="1"/>
    <col min="516" max="767" width="9" style="1"/>
    <col min="768" max="768" width="33.69921875" style="1" customWidth="1"/>
    <col min="769" max="769" width="9" style="1"/>
    <col min="770" max="770" width="14.5" style="1" customWidth="1"/>
    <col min="771" max="771" width="12.69921875" style="1" customWidth="1"/>
    <col min="772" max="1023" width="9" style="1"/>
    <col min="1024" max="1024" width="33.69921875" style="1" customWidth="1"/>
    <col min="1025" max="1025" width="9" style="1"/>
    <col min="1026" max="1026" width="14.5" style="1" customWidth="1"/>
    <col min="1027" max="1027" width="12.69921875" style="1" customWidth="1"/>
    <col min="1028" max="1279" width="9" style="1"/>
    <col min="1280" max="1280" width="33.69921875" style="1" customWidth="1"/>
    <col min="1281" max="1281" width="9" style="1"/>
    <col min="1282" max="1282" width="14.5" style="1" customWidth="1"/>
    <col min="1283" max="1283" width="12.69921875" style="1" customWidth="1"/>
    <col min="1284" max="1535" width="9" style="1"/>
    <col min="1536" max="1536" width="33.69921875" style="1" customWidth="1"/>
    <col min="1537" max="1537" width="9" style="1"/>
    <col min="1538" max="1538" width="14.5" style="1" customWidth="1"/>
    <col min="1539" max="1539" width="12.69921875" style="1" customWidth="1"/>
    <col min="1540" max="1791" width="9" style="1"/>
    <col min="1792" max="1792" width="33.69921875" style="1" customWidth="1"/>
    <col min="1793" max="1793" width="9" style="1"/>
    <col min="1794" max="1794" width="14.5" style="1" customWidth="1"/>
    <col min="1795" max="1795" width="12.69921875" style="1" customWidth="1"/>
    <col min="1796" max="2047" width="9" style="1"/>
    <col min="2048" max="2048" width="33.69921875" style="1" customWidth="1"/>
    <col min="2049" max="2049" width="9" style="1"/>
    <col min="2050" max="2050" width="14.5" style="1" customWidth="1"/>
    <col min="2051" max="2051" width="12.69921875" style="1" customWidth="1"/>
    <col min="2052" max="2303" width="9" style="1"/>
    <col min="2304" max="2304" width="33.69921875" style="1" customWidth="1"/>
    <col min="2305" max="2305" width="9" style="1"/>
    <col min="2306" max="2306" width="14.5" style="1" customWidth="1"/>
    <col min="2307" max="2307" width="12.69921875" style="1" customWidth="1"/>
    <col min="2308" max="2559" width="9" style="1"/>
    <col min="2560" max="2560" width="33.69921875" style="1" customWidth="1"/>
    <col min="2561" max="2561" width="9" style="1"/>
    <col min="2562" max="2562" width="14.5" style="1" customWidth="1"/>
    <col min="2563" max="2563" width="12.69921875" style="1" customWidth="1"/>
    <col min="2564" max="2815" width="9" style="1"/>
    <col min="2816" max="2816" width="33.69921875" style="1" customWidth="1"/>
    <col min="2817" max="2817" width="9" style="1"/>
    <col min="2818" max="2818" width="14.5" style="1" customWidth="1"/>
    <col min="2819" max="2819" width="12.69921875" style="1" customWidth="1"/>
    <col min="2820" max="3071" width="9" style="1"/>
    <col min="3072" max="3072" width="33.69921875" style="1" customWidth="1"/>
    <col min="3073" max="3073" width="9" style="1"/>
    <col min="3074" max="3074" width="14.5" style="1" customWidth="1"/>
    <col min="3075" max="3075" width="12.69921875" style="1" customWidth="1"/>
    <col min="3076" max="3327" width="9" style="1"/>
    <col min="3328" max="3328" width="33.69921875" style="1" customWidth="1"/>
    <col min="3329" max="3329" width="9" style="1"/>
    <col min="3330" max="3330" width="14.5" style="1" customWidth="1"/>
    <col min="3331" max="3331" width="12.69921875" style="1" customWidth="1"/>
    <col min="3332" max="3583" width="9" style="1"/>
    <col min="3584" max="3584" width="33.69921875" style="1" customWidth="1"/>
    <col min="3585" max="3585" width="9" style="1"/>
    <col min="3586" max="3586" width="14.5" style="1" customWidth="1"/>
    <col min="3587" max="3587" width="12.69921875" style="1" customWidth="1"/>
    <col min="3588" max="3839" width="9" style="1"/>
    <col min="3840" max="3840" width="33.69921875" style="1" customWidth="1"/>
    <col min="3841" max="3841" width="9" style="1"/>
    <col min="3842" max="3842" width="14.5" style="1" customWidth="1"/>
    <col min="3843" max="3843" width="12.69921875" style="1" customWidth="1"/>
    <col min="3844" max="4095" width="9" style="1"/>
    <col min="4096" max="4096" width="33.69921875" style="1" customWidth="1"/>
    <col min="4097" max="4097" width="9" style="1"/>
    <col min="4098" max="4098" width="14.5" style="1" customWidth="1"/>
    <col min="4099" max="4099" width="12.69921875" style="1" customWidth="1"/>
    <col min="4100" max="4351" width="9" style="1"/>
    <col min="4352" max="4352" width="33.69921875" style="1" customWidth="1"/>
    <col min="4353" max="4353" width="9" style="1"/>
    <col min="4354" max="4354" width="14.5" style="1" customWidth="1"/>
    <col min="4355" max="4355" width="12.69921875" style="1" customWidth="1"/>
    <col min="4356" max="4607" width="9" style="1"/>
    <col min="4608" max="4608" width="33.69921875" style="1" customWidth="1"/>
    <col min="4609" max="4609" width="9" style="1"/>
    <col min="4610" max="4610" width="14.5" style="1" customWidth="1"/>
    <col min="4611" max="4611" width="12.69921875" style="1" customWidth="1"/>
    <col min="4612" max="4863" width="9" style="1"/>
    <col min="4864" max="4864" width="33.69921875" style="1" customWidth="1"/>
    <col min="4865" max="4865" width="9" style="1"/>
    <col min="4866" max="4866" width="14.5" style="1" customWidth="1"/>
    <col min="4867" max="4867" width="12.69921875" style="1" customWidth="1"/>
    <col min="4868" max="5119" width="9" style="1"/>
    <col min="5120" max="5120" width="33.69921875" style="1" customWidth="1"/>
    <col min="5121" max="5121" width="9" style="1"/>
    <col min="5122" max="5122" width="14.5" style="1" customWidth="1"/>
    <col min="5123" max="5123" width="12.69921875" style="1" customWidth="1"/>
    <col min="5124" max="5375" width="9" style="1"/>
    <col min="5376" max="5376" width="33.69921875" style="1" customWidth="1"/>
    <col min="5377" max="5377" width="9" style="1"/>
    <col min="5378" max="5378" width="14.5" style="1" customWidth="1"/>
    <col min="5379" max="5379" width="12.69921875" style="1" customWidth="1"/>
    <col min="5380" max="5631" width="9" style="1"/>
    <col min="5632" max="5632" width="33.69921875" style="1" customWidth="1"/>
    <col min="5633" max="5633" width="9" style="1"/>
    <col min="5634" max="5634" width="14.5" style="1" customWidth="1"/>
    <col min="5635" max="5635" width="12.69921875" style="1" customWidth="1"/>
    <col min="5636" max="5887" width="9" style="1"/>
    <col min="5888" max="5888" width="33.69921875" style="1" customWidth="1"/>
    <col min="5889" max="5889" width="9" style="1"/>
    <col min="5890" max="5890" width="14.5" style="1" customWidth="1"/>
    <col min="5891" max="5891" width="12.69921875" style="1" customWidth="1"/>
    <col min="5892" max="6143" width="9" style="1"/>
    <col min="6144" max="6144" width="33.69921875" style="1" customWidth="1"/>
    <col min="6145" max="6145" width="9" style="1"/>
    <col min="6146" max="6146" width="14.5" style="1" customWidth="1"/>
    <col min="6147" max="6147" width="12.69921875" style="1" customWidth="1"/>
    <col min="6148" max="6399" width="9" style="1"/>
    <col min="6400" max="6400" width="33.69921875" style="1" customWidth="1"/>
    <col min="6401" max="6401" width="9" style="1"/>
    <col min="6402" max="6402" width="14.5" style="1" customWidth="1"/>
    <col min="6403" max="6403" width="12.69921875" style="1" customWidth="1"/>
    <col min="6404" max="6655" width="9" style="1"/>
    <col min="6656" max="6656" width="33.69921875" style="1" customWidth="1"/>
    <col min="6657" max="6657" width="9" style="1"/>
    <col min="6658" max="6658" width="14.5" style="1" customWidth="1"/>
    <col min="6659" max="6659" width="12.69921875" style="1" customWidth="1"/>
    <col min="6660" max="6911" width="9" style="1"/>
    <col min="6912" max="6912" width="33.69921875" style="1" customWidth="1"/>
    <col min="6913" max="6913" width="9" style="1"/>
    <col min="6914" max="6914" width="14.5" style="1" customWidth="1"/>
    <col min="6915" max="6915" width="12.69921875" style="1" customWidth="1"/>
    <col min="6916" max="7167" width="9" style="1"/>
    <col min="7168" max="7168" width="33.69921875" style="1" customWidth="1"/>
    <col min="7169" max="7169" width="9" style="1"/>
    <col min="7170" max="7170" width="14.5" style="1" customWidth="1"/>
    <col min="7171" max="7171" width="12.69921875" style="1" customWidth="1"/>
    <col min="7172" max="7423" width="9" style="1"/>
    <col min="7424" max="7424" width="33.69921875" style="1" customWidth="1"/>
    <col min="7425" max="7425" width="9" style="1"/>
    <col min="7426" max="7426" width="14.5" style="1" customWidth="1"/>
    <col min="7427" max="7427" width="12.69921875" style="1" customWidth="1"/>
    <col min="7428" max="7679" width="9" style="1"/>
    <col min="7680" max="7680" width="33.69921875" style="1" customWidth="1"/>
    <col min="7681" max="7681" width="9" style="1"/>
    <col min="7682" max="7682" width="14.5" style="1" customWidth="1"/>
    <col min="7683" max="7683" width="12.69921875" style="1" customWidth="1"/>
    <col min="7684" max="7935" width="9" style="1"/>
    <col min="7936" max="7936" width="33.69921875" style="1" customWidth="1"/>
    <col min="7937" max="7937" width="9" style="1"/>
    <col min="7938" max="7938" width="14.5" style="1" customWidth="1"/>
    <col min="7939" max="7939" width="12.69921875" style="1" customWidth="1"/>
    <col min="7940" max="8191" width="9" style="1"/>
    <col min="8192" max="8192" width="33.69921875" style="1" customWidth="1"/>
    <col min="8193" max="8193" width="9" style="1"/>
    <col min="8194" max="8194" width="14.5" style="1" customWidth="1"/>
    <col min="8195" max="8195" width="12.69921875" style="1" customWidth="1"/>
    <col min="8196" max="8447" width="9" style="1"/>
    <col min="8448" max="8448" width="33.69921875" style="1" customWidth="1"/>
    <col min="8449" max="8449" width="9" style="1"/>
    <col min="8450" max="8450" width="14.5" style="1" customWidth="1"/>
    <col min="8451" max="8451" width="12.69921875" style="1" customWidth="1"/>
    <col min="8452" max="8703" width="9" style="1"/>
    <col min="8704" max="8704" width="33.69921875" style="1" customWidth="1"/>
    <col min="8705" max="8705" width="9" style="1"/>
    <col min="8706" max="8706" width="14.5" style="1" customWidth="1"/>
    <col min="8707" max="8707" width="12.69921875" style="1" customWidth="1"/>
    <col min="8708" max="8959" width="9" style="1"/>
    <col min="8960" max="8960" width="33.69921875" style="1" customWidth="1"/>
    <col min="8961" max="8961" width="9" style="1"/>
    <col min="8962" max="8962" width="14.5" style="1" customWidth="1"/>
    <col min="8963" max="8963" width="12.69921875" style="1" customWidth="1"/>
    <col min="8964" max="9215" width="9" style="1"/>
    <col min="9216" max="9216" width="33.69921875" style="1" customWidth="1"/>
    <col min="9217" max="9217" width="9" style="1"/>
    <col min="9218" max="9218" width="14.5" style="1" customWidth="1"/>
    <col min="9219" max="9219" width="12.69921875" style="1" customWidth="1"/>
    <col min="9220" max="9471" width="9" style="1"/>
    <col min="9472" max="9472" width="33.69921875" style="1" customWidth="1"/>
    <col min="9473" max="9473" width="9" style="1"/>
    <col min="9474" max="9474" width="14.5" style="1" customWidth="1"/>
    <col min="9475" max="9475" width="12.69921875" style="1" customWidth="1"/>
    <col min="9476" max="9727" width="9" style="1"/>
    <col min="9728" max="9728" width="33.69921875" style="1" customWidth="1"/>
    <col min="9729" max="9729" width="9" style="1"/>
    <col min="9730" max="9730" width="14.5" style="1" customWidth="1"/>
    <col min="9731" max="9731" width="12.69921875" style="1" customWidth="1"/>
    <col min="9732" max="9983" width="9" style="1"/>
    <col min="9984" max="9984" width="33.69921875" style="1" customWidth="1"/>
    <col min="9985" max="9985" width="9" style="1"/>
    <col min="9986" max="9986" width="14.5" style="1" customWidth="1"/>
    <col min="9987" max="9987" width="12.69921875" style="1" customWidth="1"/>
    <col min="9988" max="10239" width="9" style="1"/>
    <col min="10240" max="10240" width="33.69921875" style="1" customWidth="1"/>
    <col min="10241" max="10241" width="9" style="1"/>
    <col min="10242" max="10242" width="14.5" style="1" customWidth="1"/>
    <col min="10243" max="10243" width="12.69921875" style="1" customWidth="1"/>
    <col min="10244" max="10495" width="9" style="1"/>
    <col min="10496" max="10496" width="33.69921875" style="1" customWidth="1"/>
    <col min="10497" max="10497" width="9" style="1"/>
    <col min="10498" max="10498" width="14.5" style="1" customWidth="1"/>
    <col min="10499" max="10499" width="12.69921875" style="1" customWidth="1"/>
    <col min="10500" max="10751" width="9" style="1"/>
    <col min="10752" max="10752" width="33.69921875" style="1" customWidth="1"/>
    <col min="10753" max="10753" width="9" style="1"/>
    <col min="10754" max="10754" width="14.5" style="1" customWidth="1"/>
    <col min="10755" max="10755" width="12.69921875" style="1" customWidth="1"/>
    <col min="10756" max="11007" width="9" style="1"/>
    <col min="11008" max="11008" width="33.69921875" style="1" customWidth="1"/>
    <col min="11009" max="11009" width="9" style="1"/>
    <col min="11010" max="11010" width="14.5" style="1" customWidth="1"/>
    <col min="11011" max="11011" width="12.69921875" style="1" customWidth="1"/>
    <col min="11012" max="11263" width="9" style="1"/>
    <col min="11264" max="11264" width="33.69921875" style="1" customWidth="1"/>
    <col min="11265" max="11265" width="9" style="1"/>
    <col min="11266" max="11266" width="14.5" style="1" customWidth="1"/>
    <col min="11267" max="11267" width="12.69921875" style="1" customWidth="1"/>
    <col min="11268" max="11519" width="9" style="1"/>
    <col min="11520" max="11520" width="33.69921875" style="1" customWidth="1"/>
    <col min="11521" max="11521" width="9" style="1"/>
    <col min="11522" max="11522" width="14.5" style="1" customWidth="1"/>
    <col min="11523" max="11523" width="12.69921875" style="1" customWidth="1"/>
    <col min="11524" max="11775" width="9" style="1"/>
    <col min="11776" max="11776" width="33.69921875" style="1" customWidth="1"/>
    <col min="11777" max="11777" width="9" style="1"/>
    <col min="11778" max="11778" width="14.5" style="1" customWidth="1"/>
    <col min="11779" max="11779" width="12.69921875" style="1" customWidth="1"/>
    <col min="11780" max="12031" width="9" style="1"/>
    <col min="12032" max="12032" width="33.69921875" style="1" customWidth="1"/>
    <col min="12033" max="12033" width="9" style="1"/>
    <col min="12034" max="12034" width="14.5" style="1" customWidth="1"/>
    <col min="12035" max="12035" width="12.69921875" style="1" customWidth="1"/>
    <col min="12036" max="12287" width="9" style="1"/>
    <col min="12288" max="12288" width="33.69921875" style="1" customWidth="1"/>
    <col min="12289" max="12289" width="9" style="1"/>
    <col min="12290" max="12290" width="14.5" style="1" customWidth="1"/>
    <col min="12291" max="12291" width="12.69921875" style="1" customWidth="1"/>
    <col min="12292" max="12543" width="9" style="1"/>
    <col min="12544" max="12544" width="33.69921875" style="1" customWidth="1"/>
    <col min="12545" max="12545" width="9" style="1"/>
    <col min="12546" max="12546" width="14.5" style="1" customWidth="1"/>
    <col min="12547" max="12547" width="12.69921875" style="1" customWidth="1"/>
    <col min="12548" max="12799" width="9" style="1"/>
    <col min="12800" max="12800" width="33.69921875" style="1" customWidth="1"/>
    <col min="12801" max="12801" width="9" style="1"/>
    <col min="12802" max="12802" width="14.5" style="1" customWidth="1"/>
    <col min="12803" max="12803" width="12.69921875" style="1" customWidth="1"/>
    <col min="12804" max="13055" width="9" style="1"/>
    <col min="13056" max="13056" width="33.69921875" style="1" customWidth="1"/>
    <col min="13057" max="13057" width="9" style="1"/>
    <col min="13058" max="13058" width="14.5" style="1" customWidth="1"/>
    <col min="13059" max="13059" width="12.69921875" style="1" customWidth="1"/>
    <col min="13060" max="13311" width="9" style="1"/>
    <col min="13312" max="13312" width="33.69921875" style="1" customWidth="1"/>
    <col min="13313" max="13313" width="9" style="1"/>
    <col min="13314" max="13314" width="14.5" style="1" customWidth="1"/>
    <col min="13315" max="13315" width="12.69921875" style="1" customWidth="1"/>
    <col min="13316" max="13567" width="9" style="1"/>
    <col min="13568" max="13568" width="33.69921875" style="1" customWidth="1"/>
    <col min="13569" max="13569" width="9" style="1"/>
    <col min="13570" max="13570" width="14.5" style="1" customWidth="1"/>
    <col min="13571" max="13571" width="12.69921875" style="1" customWidth="1"/>
    <col min="13572" max="13823" width="9" style="1"/>
    <col min="13824" max="13824" width="33.69921875" style="1" customWidth="1"/>
    <col min="13825" max="13825" width="9" style="1"/>
    <col min="13826" max="13826" width="14.5" style="1" customWidth="1"/>
    <col min="13827" max="13827" width="12.69921875" style="1" customWidth="1"/>
    <col min="13828" max="14079" width="9" style="1"/>
    <col min="14080" max="14080" width="33.69921875" style="1" customWidth="1"/>
    <col min="14081" max="14081" width="9" style="1"/>
    <col min="14082" max="14082" width="14.5" style="1" customWidth="1"/>
    <col min="14083" max="14083" width="12.69921875" style="1" customWidth="1"/>
    <col min="14084" max="14335" width="9" style="1"/>
    <col min="14336" max="14336" width="33.69921875" style="1" customWidth="1"/>
    <col min="14337" max="14337" width="9" style="1"/>
    <col min="14338" max="14338" width="14.5" style="1" customWidth="1"/>
    <col min="14339" max="14339" width="12.69921875" style="1" customWidth="1"/>
    <col min="14340" max="14591" width="9" style="1"/>
    <col min="14592" max="14592" width="33.69921875" style="1" customWidth="1"/>
    <col min="14593" max="14593" width="9" style="1"/>
    <col min="14594" max="14594" width="14.5" style="1" customWidth="1"/>
    <col min="14595" max="14595" width="12.69921875" style="1" customWidth="1"/>
    <col min="14596" max="14847" width="9" style="1"/>
    <col min="14848" max="14848" width="33.69921875" style="1" customWidth="1"/>
    <col min="14849" max="14849" width="9" style="1"/>
    <col min="14850" max="14850" width="14.5" style="1" customWidth="1"/>
    <col min="14851" max="14851" width="12.69921875" style="1" customWidth="1"/>
    <col min="14852" max="15103" width="9" style="1"/>
    <col min="15104" max="15104" width="33.69921875" style="1" customWidth="1"/>
    <col min="15105" max="15105" width="9" style="1"/>
    <col min="15106" max="15106" width="14.5" style="1" customWidth="1"/>
    <col min="15107" max="15107" width="12.69921875" style="1" customWidth="1"/>
    <col min="15108" max="15359" width="9" style="1"/>
    <col min="15360" max="15360" width="33.69921875" style="1" customWidth="1"/>
    <col min="15361" max="15361" width="9" style="1"/>
    <col min="15362" max="15362" width="14.5" style="1" customWidth="1"/>
    <col min="15363" max="15363" width="12.69921875" style="1" customWidth="1"/>
    <col min="15364" max="15615" width="9" style="1"/>
    <col min="15616" max="15616" width="33.69921875" style="1" customWidth="1"/>
    <col min="15617" max="15617" width="9" style="1"/>
    <col min="15618" max="15618" width="14.5" style="1" customWidth="1"/>
    <col min="15619" max="15619" width="12.69921875" style="1" customWidth="1"/>
    <col min="15620" max="15871" width="9" style="1"/>
    <col min="15872" max="15872" width="33.69921875" style="1" customWidth="1"/>
    <col min="15873" max="15873" width="9" style="1"/>
    <col min="15874" max="15874" width="14.5" style="1" customWidth="1"/>
    <col min="15875" max="15875" width="12.69921875" style="1" customWidth="1"/>
    <col min="15876" max="16127" width="9" style="1"/>
    <col min="16128" max="16128" width="33.69921875" style="1" customWidth="1"/>
    <col min="16129" max="16129" width="9" style="1"/>
    <col min="16130" max="16130" width="14.5" style="1" customWidth="1"/>
    <col min="16131" max="16131" width="12.69921875" style="1" customWidth="1"/>
    <col min="16132" max="16384" width="9" style="1"/>
  </cols>
  <sheetData>
    <row r="1" spans="1:4" ht="41.9" customHeight="1">
      <c r="A1" s="413" t="s">
        <v>203</v>
      </c>
      <c r="B1" s="413"/>
      <c r="C1" s="413"/>
      <c r="D1" s="413"/>
    </row>
    <row r="2" spans="1:4">
      <c r="A2" s="414"/>
      <c r="B2" s="414"/>
      <c r="C2" s="414"/>
      <c r="D2" s="414"/>
    </row>
    <row r="3" spans="1:4" ht="29.05" customHeight="1">
      <c r="A3" s="2" t="str">
        <f>中标公示!C9&amp;":"</f>
        <v>广东省002某某工程股份有限公司:</v>
      </c>
      <c r="B3" s="3"/>
      <c r="C3" s="3"/>
      <c r="D3" s="3"/>
    </row>
    <row r="4" spans="1:4" ht="29.05" customHeight="1">
      <c r="A4" s="2" t="str">
        <f>链接表!A4&amp;链接表!B4</f>
        <v>项目名称：信宜市绿道二期EPC项目</v>
      </c>
      <c r="B4" s="3"/>
      <c r="C4" s="3"/>
      <c r="D4" s="3"/>
    </row>
    <row r="5" spans="1:4" ht="29.05" customHeight="1">
      <c r="A5" s="2" t="str">
        <f>"招标控制价为：￥"&amp;链接表!B12/10000&amp;"万元"</f>
        <v>招标控制价为：￥13511.31万元</v>
      </c>
      <c r="B5" s="3"/>
      <c r="C5" s="3"/>
      <c r="D5" s="3"/>
    </row>
    <row r="6" spans="1:4" ht="61.75" customHeight="1">
      <c r="A6" s="415" t="s">
        <v>204</v>
      </c>
      <c r="B6" s="415"/>
      <c r="C6" s="415"/>
      <c r="D6" s="415"/>
    </row>
    <row r="7" spans="1:4" ht="59.9" customHeight="1">
      <c r="A7" s="4" t="s">
        <v>205</v>
      </c>
      <c r="B7" s="5" t="s">
        <v>206</v>
      </c>
      <c r="C7" s="5" t="s">
        <v>207</v>
      </c>
      <c r="D7" s="6" t="s">
        <v>208</v>
      </c>
    </row>
    <row r="8" spans="1:4" ht="24.2" customHeight="1">
      <c r="A8" s="7" t="s">
        <v>209</v>
      </c>
      <c r="B8" s="8">
        <f>IF($B$7="工程招标",1%,IF($B$7="服务招标",1.5%,1.5%))</f>
        <v>0.01</v>
      </c>
      <c r="C8" s="9">
        <f>IF(AND(链接表!$B$12&lt;1000000,链接表!$B$12&gt;=0),链接表!$B$12,1000000)</f>
        <v>1000000</v>
      </c>
      <c r="D8" s="9">
        <f>C8*B8</f>
        <v>10000</v>
      </c>
    </row>
    <row r="9" spans="1:4" ht="24.2" customHeight="1">
      <c r="A9" s="7" t="s">
        <v>210</v>
      </c>
      <c r="B9" s="8">
        <f>IF($B$7="工程招标",0.7%,IF($B$7="服务招标",0.8%,1.1%))</f>
        <v>7.0000000000000001E-3</v>
      </c>
      <c r="C9" s="9">
        <f>IF(AND(链接表!$B$12&gt;1000000,链接表!$B$12&lt;=5000000),链接表!$B$12-1000000,IF(链接表!$B$12&lt;=1000000,0,4000000))</f>
        <v>4000000</v>
      </c>
      <c r="D9" s="9">
        <f t="shared" ref="D9:D17" si="0">C9*B9</f>
        <v>28000</v>
      </c>
    </row>
    <row r="10" spans="1:4" ht="24.2" customHeight="1">
      <c r="A10" s="7" t="s">
        <v>211</v>
      </c>
      <c r="B10" s="8">
        <f>IF($B$7="工程招标",0.55%,IF($B$7="服务招标",0.45%,0.8%))</f>
        <v>5.4999999999999997E-3</v>
      </c>
      <c r="C10" s="9">
        <f>IF(AND(链接表!$B$12&gt;5000000,链接表!$B$12&lt;=10000000),链接表!$B$12-5000000,IF(链接表!$B$12&lt;=5000000,0,5000000))</f>
        <v>5000000</v>
      </c>
      <c r="D10" s="9">
        <f t="shared" si="0"/>
        <v>27500</v>
      </c>
    </row>
    <row r="11" spans="1:4" ht="24.2" customHeight="1">
      <c r="A11" s="7" t="s">
        <v>212</v>
      </c>
      <c r="B11" s="8">
        <f>IF($B$7="工程招标",0.35%,IF($B$7="服务招标",0.25%,0.5%))</f>
        <v>3.5000000000000001E-3</v>
      </c>
      <c r="C11" s="9">
        <f>IF(AND(链接表!$B$12&gt;10000000,链接表!$B$12&lt;=50000000),链接表!$B$12-10000000,IF(链接表!$B$12&lt;=10000000,0,40000000))</f>
        <v>40000000</v>
      </c>
      <c r="D11" s="9">
        <f t="shared" si="0"/>
        <v>140000</v>
      </c>
    </row>
    <row r="12" spans="1:4" ht="24.2" customHeight="1">
      <c r="A12" s="7" t="s">
        <v>213</v>
      </c>
      <c r="B12" s="8">
        <f>IF($B$7="工程招标",0.2%,IF($B$7="服务招标",0.1%,0.25%))</f>
        <v>2E-3</v>
      </c>
      <c r="C12" s="9">
        <f>IF(AND(链接表!$B$12&gt;50000000,链接表!$B$12&lt;=100000000),链接表!$B$12-50000000,IF(链接表!$B$12&lt;=50000000,0,50000000))</f>
        <v>50000000</v>
      </c>
      <c r="D12" s="9">
        <f t="shared" si="0"/>
        <v>100000</v>
      </c>
    </row>
    <row r="13" spans="1:4" ht="24.2" customHeight="1">
      <c r="A13" s="7" t="s">
        <v>214</v>
      </c>
      <c r="B13" s="8">
        <f>IF($B$7="工程招标",0.05%,IF($B$7="服务招标",0.05%,0.05%))</f>
        <v>5.0000000000000001E-4</v>
      </c>
      <c r="C13" s="9">
        <f>IF(AND(链接表!$B$12&gt;100000000,链接表!$B$12&lt;=5000000000),链接表!$B$12-100000000,IF(链接表!$B$12&lt;=100000000,0,400000000))</f>
        <v>35113100</v>
      </c>
      <c r="D13" s="9">
        <f t="shared" si="0"/>
        <v>17556.55</v>
      </c>
    </row>
    <row r="14" spans="1:4" ht="24.2" customHeight="1">
      <c r="A14" s="7" t="s">
        <v>215</v>
      </c>
      <c r="B14" s="10">
        <f>IF($B$7="工程招标",0.035%,IF($B$7="服务招标",0.035%,0.035%))</f>
        <v>3.5E-4</v>
      </c>
      <c r="C14" s="9">
        <f>IF(AND(链接表!$B$12&gt;500000000,链接表!$B$12&lt;=1000000000),链接表!$B$12-500000000,IF(链接表!$B$12&lt;=500000000,0,500000000))</f>
        <v>0</v>
      </c>
      <c r="D14" s="9">
        <f t="shared" si="0"/>
        <v>0</v>
      </c>
    </row>
    <row r="15" spans="1:4" ht="24.2" customHeight="1">
      <c r="A15" s="7" t="s">
        <v>216</v>
      </c>
      <c r="B15" s="10">
        <f>IF($B$7="工程招标",0.008%,IF($B$7="服务招标",0.008%,0.008%))</f>
        <v>8.0000000000000007E-5</v>
      </c>
      <c r="C15" s="9">
        <f>IF(AND(链接表!$B$12&gt;1000000000,链接表!$B$12&lt;=5000000000),链接表!$B$12-1000000000,IF(链接表!$B$12&lt;=1000000000,0,4000000000))</f>
        <v>0</v>
      </c>
      <c r="D15" s="9">
        <f t="shared" si="0"/>
        <v>0</v>
      </c>
    </row>
    <row r="16" spans="1:4" ht="24.2" customHeight="1">
      <c r="A16" s="7" t="s">
        <v>217</v>
      </c>
      <c r="B16" s="10">
        <f>IF($B$7="工程招标",0.006%,IF($B$7="服务招标",0.006%,0.006%))</f>
        <v>6.0000000000000002E-5</v>
      </c>
      <c r="C16" s="9">
        <f>IF(AND(链接表!$B$12&gt;5000000000,链接表!$B$12&lt;=10000000000),链接表!$B$12-5000000000,IF(链接表!$B$12&lt;=5000000000,0,5000000000))</f>
        <v>0</v>
      </c>
      <c r="D16" s="9">
        <f t="shared" si="0"/>
        <v>0</v>
      </c>
    </row>
    <row r="17" spans="1:5" ht="24.2" customHeight="1">
      <c r="A17" s="7" t="s">
        <v>218</v>
      </c>
      <c r="B17" s="10">
        <f>IF($B$7="工程招标",0.004%,IF($B$7="服务招标",0.004%,0.004%))</f>
        <v>4.0000000000000003E-5</v>
      </c>
      <c r="C17" s="9">
        <f>IF(链接表!$B$12&gt;10000000000,链接表!$B$12-10000000000,0)</f>
        <v>0</v>
      </c>
      <c r="D17" s="9">
        <f t="shared" si="0"/>
        <v>0</v>
      </c>
    </row>
    <row r="18" spans="1:5" ht="31.05" customHeight="1">
      <c r="A18" s="416" t="s">
        <v>219</v>
      </c>
      <c r="B18" s="417"/>
      <c r="C18" s="418"/>
      <c r="D18" s="216">
        <f>SUM(D8:D17)</f>
        <v>323056.55</v>
      </c>
    </row>
    <row r="19" spans="1:5" ht="31.05" customHeight="1">
      <c r="A19" s="419">
        <v>0</v>
      </c>
      <c r="B19" s="420"/>
      <c r="C19" s="421"/>
      <c r="D19" s="216">
        <f>IF(OR(A19&lt;0%,A19&gt;100%),0,A19*D18)</f>
        <v>0</v>
      </c>
    </row>
    <row r="20" spans="1:5" ht="31.05" customHeight="1">
      <c r="A20" s="426" t="s">
        <v>220</v>
      </c>
      <c r="B20" s="427"/>
      <c r="C20" s="428"/>
      <c r="D20" s="216" t="str">
        <f>评标专家评标劳务费发放表!D13</f>
        <v/>
      </c>
    </row>
    <row r="21" spans="1:5" ht="31.05" customHeight="1">
      <c r="A21" s="426" t="s">
        <v>221</v>
      </c>
      <c r="B21" s="427"/>
      <c r="C21" s="428"/>
      <c r="D21" s="216">
        <f>IF(A19&lt;=0%,SUM(D18:D20),SUM(D19:D20))</f>
        <v>323056.55</v>
      </c>
    </row>
    <row r="22" spans="1:5" ht="19.399999999999999">
      <c r="A22" s="11"/>
      <c r="B22" s="12"/>
      <c r="C22" s="12"/>
      <c r="D22" s="12"/>
    </row>
    <row r="23" spans="1:5" ht="19.399999999999999">
      <c r="A23" s="11"/>
      <c r="B23" s="12"/>
      <c r="C23" s="12"/>
      <c r="D23" s="12"/>
    </row>
    <row r="24" spans="1:5" ht="19.399999999999999">
      <c r="A24" s="11"/>
      <c r="B24" s="12"/>
      <c r="C24" s="12"/>
      <c r="D24" s="12"/>
    </row>
    <row r="25" spans="1:5" ht="20.75" customHeight="1">
      <c r="A25" s="429" t="s">
        <v>222</v>
      </c>
      <c r="B25" s="429"/>
      <c r="C25" s="429"/>
      <c r="D25" s="429"/>
    </row>
    <row r="26" spans="1:5" ht="25" customHeight="1">
      <c r="A26" s="13" t="s">
        <v>223</v>
      </c>
      <c r="B26" s="422" t="s">
        <v>224</v>
      </c>
      <c r="C26" s="423"/>
      <c r="D26" s="424"/>
      <c r="E26" s="14"/>
    </row>
    <row r="27" spans="1:5" ht="25" customHeight="1">
      <c r="A27" s="13" t="s">
        <v>225</v>
      </c>
      <c r="B27" s="422" t="s">
        <v>226</v>
      </c>
      <c r="C27" s="423"/>
      <c r="D27" s="424"/>
    </row>
    <row r="28" spans="1:5" ht="25" customHeight="1">
      <c r="A28" s="13" t="s">
        <v>227</v>
      </c>
      <c r="B28" s="422" t="s">
        <v>228</v>
      </c>
      <c r="C28" s="423"/>
      <c r="D28" s="424"/>
    </row>
    <row r="29" spans="1:5" ht="25" customHeight="1">
      <c r="A29" s="13" t="s">
        <v>229</v>
      </c>
      <c r="B29" s="422" t="s">
        <v>230</v>
      </c>
      <c r="C29" s="423"/>
      <c r="D29" s="424"/>
    </row>
    <row r="30" spans="1:5" ht="25" customHeight="1">
      <c r="A30" s="13" t="s">
        <v>231</v>
      </c>
      <c r="B30" s="422" t="str">
        <f>链接表!B28</f>
        <v>0668-8829113</v>
      </c>
      <c r="C30" s="423"/>
      <c r="D30" s="424"/>
    </row>
    <row r="31" spans="1:5" ht="25" customHeight="1">
      <c r="A31" s="2"/>
      <c r="B31" s="2"/>
      <c r="C31" s="2"/>
      <c r="D31" s="2"/>
    </row>
    <row r="32" spans="1:5" ht="25" customHeight="1">
      <c r="A32" s="425" t="str">
        <f>链接表!B6</f>
        <v>深圳群伦项目管理有限公司</v>
      </c>
      <c r="B32" s="425"/>
      <c r="C32" s="425"/>
      <c r="D32" s="425"/>
    </row>
    <row r="33" spans="1:4" ht="25" customHeight="1">
      <c r="A33" s="15"/>
      <c r="B33" s="15"/>
      <c r="C33" s="16"/>
      <c r="D33" s="15" t="str">
        <f>TEXT(WORKDAY(链接表!B7,3)+1,"yyyy年m月d日")</f>
        <v>2018年8月14日</v>
      </c>
    </row>
    <row r="34" spans="1:4">
      <c r="A34" s="17"/>
      <c r="B34" s="17"/>
      <c r="C34" s="17"/>
      <c r="D34" s="17"/>
    </row>
  </sheetData>
  <mergeCells count="14">
    <mergeCell ref="B28:D28"/>
    <mergeCell ref="B29:D29"/>
    <mergeCell ref="B30:D30"/>
    <mergeCell ref="A32:D32"/>
    <mergeCell ref="A20:C20"/>
    <mergeCell ref="A21:C21"/>
    <mergeCell ref="A25:D25"/>
    <mergeCell ref="B26:D26"/>
    <mergeCell ref="B27:D27"/>
    <mergeCell ref="A1:D1"/>
    <mergeCell ref="A2:D2"/>
    <mergeCell ref="A6:D6"/>
    <mergeCell ref="A18:C18"/>
    <mergeCell ref="A19:C19"/>
  </mergeCells>
  <phoneticPr fontId="110" type="noConversion"/>
  <conditionalFormatting sqref="A19:C19">
    <cfRule type="cellIs" dxfId="4" priority="3" operator="equal">
      <formula>0</formula>
    </cfRule>
  </conditionalFormatting>
  <conditionalFormatting sqref="C8:C17">
    <cfRule type="cellIs" dxfId="3" priority="2" operator="equal">
      <formula>0</formula>
    </cfRule>
  </conditionalFormatting>
  <conditionalFormatting sqref="D8:D17">
    <cfRule type="cellIs" dxfId="2" priority="4" operator="equal">
      <formula>0</formula>
    </cfRule>
  </conditionalFormatting>
  <conditionalFormatting sqref="D18:D21">
    <cfRule type="cellIs" dxfId="1" priority="1" operator="equal">
      <formula>0</formula>
    </cfRule>
  </conditionalFormatting>
  <dataValidations count="1">
    <dataValidation type="list" allowBlank="1" showInputMessage="1" showErrorMessage="1" sqref="B7">
      <formula1>"货物招标,服务招标,工程招标"</formula1>
    </dataValidation>
  </dataValidations>
  <printOptions horizontalCentered="1"/>
  <pageMargins left="0.74791666666666701" right="0.74791666666666701" top="0.98402777777777795" bottom="0.98402777777777795" header="0.51180555555555596" footer="0.51180555555555596"/>
  <pageSetup paperSize="9" scale="82" orientation="portrait" r:id="rId1"/>
  <headerFooter scaleWithDoc="0"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30</vt:i4>
      </vt:variant>
      <vt:variant>
        <vt:lpstr>命名范围</vt:lpstr>
      </vt:variant>
      <vt:variant>
        <vt:i4>16</vt:i4>
      </vt:variant>
    </vt:vector>
  </HeadingPairs>
  <TitlesOfParts>
    <vt:vector size="46" baseType="lpstr">
      <vt:lpstr>链接表</vt:lpstr>
      <vt:lpstr>现场投标文件退还</vt:lpstr>
      <vt:lpstr>原件递交和退还</vt:lpstr>
      <vt:lpstr>递交投标文件</vt:lpstr>
      <vt:lpstr>专家签到表</vt:lpstr>
      <vt:lpstr>银行保函</vt:lpstr>
      <vt:lpstr>开标会议签到表</vt:lpstr>
      <vt:lpstr>评标会议监督人员签到表</vt:lpstr>
      <vt:lpstr>评标会议工作人员签到表</vt:lpstr>
      <vt:lpstr>开标现场记录表</vt:lpstr>
      <vt:lpstr>评标专家承诺书</vt:lpstr>
      <vt:lpstr>初步审查情况表</vt:lpstr>
      <vt:lpstr>商务评分表</vt:lpstr>
      <vt:lpstr>商务评分汇总表</vt:lpstr>
      <vt:lpstr>技术投标文件符合性审查表</vt:lpstr>
      <vt:lpstr>技术评分表</vt:lpstr>
      <vt:lpstr>技术部分评分汇总表</vt:lpstr>
      <vt:lpstr>技术投标文件编号对应表</vt:lpstr>
      <vt:lpstr>算术平均值</vt:lpstr>
      <vt:lpstr>K值抽取表</vt:lpstr>
      <vt:lpstr>评标基准值</vt:lpstr>
      <vt:lpstr>投标报价得分F1计算表</vt:lpstr>
      <vt:lpstr>投标报价得分F2计算表</vt:lpstr>
      <vt:lpstr>报价得分合计</vt:lpstr>
      <vt:lpstr>综合得分表</vt:lpstr>
      <vt:lpstr>中标候选人</vt:lpstr>
      <vt:lpstr>评标报告</vt:lpstr>
      <vt:lpstr>中标公示</vt:lpstr>
      <vt:lpstr>评标专家评标劳务费发放表</vt:lpstr>
      <vt:lpstr>代理服务费收费通知书</vt:lpstr>
      <vt:lpstr>初步审查情况表!Print_Area</vt:lpstr>
      <vt:lpstr>技术部分评分汇总表!Print_Area</vt:lpstr>
      <vt:lpstr>技术评分表!Print_Area</vt:lpstr>
      <vt:lpstr>技术投标文件编号对应表!Print_Area</vt:lpstr>
      <vt:lpstr>技术投标文件符合性审查表!Print_Area</vt:lpstr>
      <vt:lpstr>开标现场记录表!Print_Area</vt:lpstr>
      <vt:lpstr>链接表!Print_Area</vt:lpstr>
      <vt:lpstr>评标专家评标劳务费发放表!Print_Area</vt:lpstr>
      <vt:lpstr>商务评分表!Print_Area</vt:lpstr>
      <vt:lpstr>现场投标文件退还!Print_Area</vt:lpstr>
      <vt:lpstr>银行保函!Print_Area</vt:lpstr>
      <vt:lpstr>综合得分表!Print_Area</vt:lpstr>
      <vt:lpstr>技术部分评分汇总表!Print_Titles</vt:lpstr>
      <vt:lpstr>技术投标文件编号对应表!Print_Titles</vt:lpstr>
      <vt:lpstr>开标现场记录表!Print_Titles</vt:lpstr>
      <vt:lpstr>商务评分表!Print_Titles</vt:lpstr>
    </vt:vector>
  </TitlesOfParts>
  <Company>zt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long</dc:creator>
  <cp:lastModifiedBy>Windows User</cp:lastModifiedBy>
  <cp:revision>1</cp:revision>
  <cp:lastPrinted>2018-07-30T07:42:03Z</cp:lastPrinted>
  <dcterms:created xsi:type="dcterms:W3CDTF">2005-11-21T07:59:00Z</dcterms:created>
  <dcterms:modified xsi:type="dcterms:W3CDTF">2018-07-30T09:08:52Z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